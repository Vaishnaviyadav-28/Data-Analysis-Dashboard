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aish\OneDrive\Documents\"/>
    </mc:Choice>
  </mc:AlternateContent>
  <xr:revisionPtr revIDLastSave="0" documentId="13_ncr:1_{D008AB25-110A-4932-A67C-3E9D40A02EEE}" xr6:coauthVersionLast="47" xr6:coauthVersionMax="47" xr10:uidLastSave="{00000000-0000-0000-0000-000000000000}"/>
  <bookViews>
    <workbookView xWindow="-108" yWindow="-108" windowWidth="23256" windowHeight="12456" activeTab="6" xr2:uid="{635B5F2A-FFCE-4FB2-8B42-ED4B42E3610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<sst xmlns="http://schemas.openxmlformats.org/spreadsheetml/2006/main" count="63" uniqueCount="34">
  <si>
    <t>Row Labels</t>
  </si>
  <si>
    <t>Sum of Gross Revenue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</si>
  <si>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</si>
  <si>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</si>
  <si>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</si>
  <si>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</si>
  <si>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</si>
  <si>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</si>
  <si>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</si>
  <si>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</si>
  <si>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</si>
  <si>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</si>
  <si>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</si>
  <si>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</si>
  <si>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</si>
  <si>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Sum of Total Net Profit</t>
  </si>
  <si>
    <t>AI Suite</t>
  </si>
  <si>
    <t>Block Chain Ledger</t>
  </si>
  <si>
    <t>Cloud Storage</t>
  </si>
  <si>
    <t>ML Products</t>
  </si>
  <si>
    <t>Security Hardware</t>
  </si>
  <si>
    <t>East</t>
  </si>
  <si>
    <t>International</t>
  </si>
  <si>
    <t>North</t>
  </si>
  <si>
    <t>South</t>
  </si>
  <si>
    <t>West</t>
  </si>
  <si>
    <t>Sum of Unit Sold</t>
  </si>
  <si>
    <t>Baburao</t>
  </si>
  <si>
    <t>Ram</t>
  </si>
  <si>
    <t>Saddam Ansari</t>
  </si>
  <si>
    <t>Sham</t>
  </si>
  <si>
    <t>Tiwari</t>
  </si>
  <si>
    <t>Average of Customer Rating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</si>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</sst>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36"/>
      <name val="Calibri"/>
      <family val="2"/>
      <scheme val="minor"/>
    </font>
    <font>
      <b/>
      <i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[Dashboard.xlsx]Sheet1!PivotTable2</c:name>
    <c:fmtId val="7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6910004996480585"/>
          <c:y val="8.2914519944266227E-2"/>
          <c:w val="0.69992823782223601"/>
          <c:h val="0.76779268332199213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Sheet1!$A$2:$A$14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Sheet1!$B$2:$B$14</c:f>
              <c:numCache>
                <c:formatCode>General</c:formatCode>
                <c:ptCount val="12"/>
                <c:pt idx="0">
                  <c:v>3757331</c:v>
                </c:pt>
                <c:pt idx="1">
                  <c:v>2188578</c:v>
                </c:pt>
                <c:pt idx="2">
                  <c:v>2689772</c:v>
                </c:pt>
                <c:pt idx="3">
                  <c:v>2579349</c:v>
                </c:pt>
                <c:pt idx="4">
                  <c:v>2507632</c:v>
                </c:pt>
                <c:pt idx="5">
                  <c:v>2502874</c:v>
                </c:pt>
                <c:pt idx="6">
                  <c:v>3153910</c:v>
                </c:pt>
                <c:pt idx="7">
                  <c:v>2812803</c:v>
                </c:pt>
                <c:pt idx="8">
                  <c:v>2794042</c:v>
                </c:pt>
                <c:pt idx="9">
                  <c:v>3494416</c:v>
                </c:pt>
                <c:pt idx="10">
                  <c:v>2537282</c:v>
                </c:pt>
                <c:pt idx="11">
                  <c:v>2021272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FB-417B-92B9-D49B7AF1F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46526128"/>
        <c:axId val="246527568"/>
        <c:axId val="1739320864"/>
      </c:bar3DChart>
      <c:catAx>
        <c:axId val="24652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527568"/>
        <c:crosses val="autoZero"/>
        <c:auto val="1"/>
        <c:lblAlgn val="ctr"/>
        <c:lblOffset val="100"/>
        <c:noMultiLvlLbl val="0"/>
      </c:catAx>
      <c:valAx>
        <c:axId val="24652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526128"/>
        <c:crosses val="autoZero"/>
        <c:crossBetween val="between"/>
      </c:valAx>
      <c:serAx>
        <c:axId val="17393208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527568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accent1"/>
      </a:solidFill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[Dashboard.xlsx]Sheet2!PivotTable3</c:name>
    <c:fmtId val="3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dk1">
              <a:lumMod val="50000"/>
              <a:lumOff val="50000"/>
            </a:schemeClr>
          </a:solidFill>
          <a:round/>
        </a:ln>
        <a:effectLst/>
        <a:sp3d contourW="9525">
          <a:contourClr>
            <a:schemeClr val="dk1">
              <a:lumMod val="50000"/>
              <a:lumOff val="5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4975960844402095"/>
          <c:y val="3.4634087476346005E-2"/>
          <c:w val="0.70787131387988267"/>
          <c:h val="0.86393536745406829"/>
        </c:manualLayout>
      </c:layout>
      <c:area3D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Sheet2!$A$2:$A$7</c:f>
              <c:strCache>
                <c:ptCount val="5"/>
                <c:pt idx="0">
                  <c:v>AI Suite</c:v>
                </c:pt>
                <c:pt idx="1">
                  <c:v>Block Chain Ledger</c:v>
                </c:pt>
                <c:pt idx="2">
                  <c:v>Cloud Storage</c:v>
                </c:pt>
                <c:pt idx="3">
                  <c:v>ML Products</c:v>
                </c:pt>
                <c:pt idx="4">
                  <c:v>Security Hardware</c:v>
                </c:pt>
              </c:strCache>
            </c:strRef>
          </c:cat>
          <c:val>
            <c:numRef>
              <c:f>Sheet2!$B$2:$B$7</c:f>
              <c:numCache>
                <c:formatCode>General</c:formatCode>
                <c:ptCount val="5"/>
                <c:pt idx="0">
                  <c:v>6047397.8350000018</c:v>
                </c:pt>
                <c:pt idx="1">
                  <c:v>5619355.5148</c:v>
                </c:pt>
                <c:pt idx="2">
                  <c:v>3786895.7864000006</c:v>
                </c:pt>
                <c:pt idx="3">
                  <c:v>5149100.5095999986</c:v>
                </c:pt>
                <c:pt idx="4">
                  <c:v>3669392.5036000009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5-4431-8D71-70EDE6783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33152"/>
        <c:axId val="145378736"/>
        <c:axId val="301288688"/>
      </c:area3DChart>
      <c:catAx>
        <c:axId val="240833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78736"/>
        <c:crosses val="autoZero"/>
        <c:auto val="1"/>
        <c:lblAlgn val="ctr"/>
        <c:lblOffset val="100"/>
        <c:noMultiLvlLbl val="0"/>
      </c:catAx>
      <c:valAx>
        <c:axId val="14537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33152"/>
        <c:crosses val="autoZero"/>
        <c:crossBetween val="midCat"/>
      </c:valAx>
      <c:serAx>
        <c:axId val="30128868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7873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accent1"/>
      </a:solidFill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[Dashboard.xlsx]Sheet3!PivotTable4</c:name>
    <c:fmtId val="5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D4D-45EF-8874-8537DC6F634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D4D-45EF-8874-8537DC6F634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D4D-45EF-8874-8537DC6F634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2D4D-45EF-8874-8537DC6F634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2D4D-45EF-8874-8537DC6F63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Sheet3!$A$2:$A$7</c:f>
              <c:strCache>
                <c:ptCount val="5"/>
                <c:pt idx="0">
                  <c:v>East</c:v>
                </c:pt>
                <c:pt idx="1">
                  <c:v>International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Sheet3!$B$2:$B$7</c:f>
              <c:numCache>
                <c:formatCode>General</c:formatCode>
                <c:ptCount val="5"/>
                <c:pt idx="0">
                  <c:v>5227968</c:v>
                </c:pt>
                <c:pt idx="1">
                  <c:v>7307037</c:v>
                </c:pt>
                <c:pt idx="2">
                  <c:v>5668655</c:v>
                </c:pt>
                <c:pt idx="3">
                  <c:v>7660466</c:v>
                </c:pt>
                <c:pt idx="4">
                  <c:v>7175135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D4D-45EF-8874-8537DC6F634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accent1"/>
      </a:solidFill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[Dashboard.xlsx]Sheet4!PivotTable5</c:name>
    <c:fmtId val="2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4385340069022065"/>
          <c:y val="0.16574401611477954"/>
          <c:w val="0.44510617471553571"/>
          <c:h val="0.74401912045262153"/>
        </c:manualLayout>
      </c:layout>
      <c:doughnutChart>
        <c:varyColors val="1"/>
        <c:ser>
          <c:idx val="0"/>
          <c:order val="0"/>
          <c:tx>
            <c:strRef>
              <c:f>Sheet4!$B$1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162-40B1-A862-4444C556234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162-40B1-A862-4444C556234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162-40B1-A862-4444C556234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162-40B1-A862-4444C556234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162-40B1-A862-4444C55623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Sheet4!$A$2:$A$7</c:f>
              <c:strCache>
                <c:ptCount val="5"/>
                <c:pt idx="0">
                  <c:v>Baburao</c:v>
                </c:pt>
                <c:pt idx="1">
                  <c:v>Ram</c:v>
                </c:pt>
                <c:pt idx="2">
                  <c:v>Saddam Ansari</c:v>
                </c:pt>
                <c:pt idx="3">
                  <c:v>Sham</c:v>
                </c:pt>
                <c:pt idx="4">
                  <c:v>Tiwari</c:v>
                </c:pt>
              </c:strCache>
            </c:strRef>
          </c:cat>
          <c:val>
            <c:numRef>
              <c:f>Sheet4!$B$2:$B$7</c:f>
              <c:numCache>
                <c:formatCode>General</c:formatCode>
                <c:ptCount val="5"/>
                <c:pt idx="0">
                  <c:v>4920</c:v>
                </c:pt>
                <c:pt idx="1">
                  <c:v>6136</c:v>
                </c:pt>
                <c:pt idx="2">
                  <c:v>5609</c:v>
                </c:pt>
                <c:pt idx="3">
                  <c:v>5343</c:v>
                </c:pt>
                <c:pt idx="4">
                  <c:v>5062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162-40B1-A862-4444C556234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382589255940039"/>
          <c:y val="0.21164938768974678"/>
          <c:w val="0.26172969714247601"/>
          <c:h val="0.686926360463267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accent1"/>
      </a:solidFill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[Dashboard.xlsx]Sheet5!PivotTable6</c:name>
    <c:fmtId val="2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Sheet5!$A$2:$A$14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Sheet5!$B$2:$B$14</c:f>
              <c:numCache>
                <c:formatCode>General</c:formatCode>
                <c:ptCount val="12"/>
                <c:pt idx="0">
                  <c:v>2.2857142857142856</c:v>
                </c:pt>
                <c:pt idx="1">
                  <c:v>2.9523809523809526</c:v>
                </c:pt>
                <c:pt idx="2">
                  <c:v>3.3333333333333335</c:v>
                </c:pt>
                <c:pt idx="3">
                  <c:v>3.35</c:v>
                </c:pt>
                <c:pt idx="4">
                  <c:v>2.9523809523809526</c:v>
                </c:pt>
                <c:pt idx="5">
                  <c:v>3.3</c:v>
                </c:pt>
                <c:pt idx="6">
                  <c:v>2.75</c:v>
                </c:pt>
                <c:pt idx="7">
                  <c:v>2.5714285714285716</c:v>
                </c:pt>
                <c:pt idx="8">
                  <c:v>2.4285714285714284</c:v>
                </c:pt>
                <c:pt idx="9">
                  <c:v>2.8181818181818183</c:v>
                </c:pt>
                <c:pt idx="10">
                  <c:v>3.0952380952380953</c:v>
                </c:pt>
                <c:pt idx="11">
                  <c:v>2.2857142857142856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F8-4677-96DC-EE4DEF3D9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376816"/>
        <c:axId val="145377776"/>
      </c:lineChart>
      <c:catAx>
        <c:axId val="14537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77776"/>
        <c:crosses val="autoZero"/>
        <c:auto val="1"/>
        <c:lblAlgn val="ctr"/>
        <c:lblOffset val="100"/>
        <c:noMultiLvlLbl val="0"/>
      </c:catAx>
      <c:valAx>
        <c:axId val="14537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7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accent1"/>
      </a:solidFill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[Dashboard.xlsx]Sheet6!PivotTable7</c:name>
    <c:fmtId val="2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Sheet6!$A$2:$A$7</c:f>
              <c:strCache>
                <c:ptCount val="5"/>
                <c:pt idx="0">
                  <c:v>Baburao</c:v>
                </c:pt>
                <c:pt idx="1">
                  <c:v>Ram</c:v>
                </c:pt>
                <c:pt idx="2">
                  <c:v>Saddam Ansari</c:v>
                </c:pt>
                <c:pt idx="3">
                  <c:v>Sham</c:v>
                </c:pt>
                <c:pt idx="4">
                  <c:v>Tiwari</c:v>
                </c:pt>
              </c:strCache>
            </c:strRef>
          </c:cat>
          <c:val>
            <c:numRef>
              <c:f>Sheet6!$B$2:$B$7</c:f>
              <c:numCache>
                <c:formatCode>General</c:formatCode>
                <c:ptCount val="5"/>
                <c:pt idx="0">
                  <c:v>4920</c:v>
                </c:pt>
                <c:pt idx="1">
                  <c:v>6136</c:v>
                </c:pt>
                <c:pt idx="2">
                  <c:v>5609</c:v>
                </c:pt>
                <c:pt idx="3">
                  <c:v>5343</c:v>
                </c:pt>
                <c:pt idx="4">
                  <c:v>5062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42-4877-A329-76DFD2543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04172048"/>
        <c:axId val="304172528"/>
      </c:barChart>
      <c:catAx>
        <c:axId val="304172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172528"/>
        <c:crosses val="autoZero"/>
        <c:auto val="1"/>
        <c:lblAlgn val="ctr"/>
        <c:lblOffset val="100"/>
        <c:noMultiLvlLbl val="0"/>
      </c:catAx>
      <c:valAx>
        <c:axId val="30417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17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accent1"/>
      </a:solidFill>
    </a:ln>
    <a:effectLst>
      <a:innerShdw blurRad="114300">
        <a:schemeClr val="tx1">
          <a:lumMod val="75000"/>
          <a:lumOff val="25000"/>
        </a:scheme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5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233679</xdr:colOff>
      <xdr:row>4</xdr:row>
      <xdr:rowOff>21465</xdr:rowOff>
    </xdr:from>
    <xdr:to>
      <xdr:col>9</xdr:col>
      <xdr:colOff>343436</xdr:colOff>
      <xdr:row>24</xdr:row>
      <xdr:rowOff>172720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F8DB16-C664-67DA-3043-A0AD6ED34D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450761</xdr:colOff>
      <xdr:row>4</xdr:row>
      <xdr:rowOff>0</xdr:rowOff>
    </xdr:from>
    <xdr:to>
      <xdr:col>32</xdr:col>
      <xdr:colOff>375634</xdr:colOff>
      <xdr:row>25</xdr:row>
      <xdr:rowOff>1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EB94AFA2-FEE2-47CC-55CA-148C821CE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579551</xdr:colOff>
      <xdr:row>4</xdr:row>
      <xdr:rowOff>0</xdr:rowOff>
    </xdr:from>
    <xdr:to>
      <xdr:col>21</xdr:col>
      <xdr:colOff>160987</xdr:colOff>
      <xdr:row>25</xdr:row>
      <xdr:rowOff>11734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34DB82-2FAA-8A65-CD86-348B954346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354169</xdr:colOff>
      <xdr:row>26</xdr:row>
      <xdr:rowOff>1</xdr:rowOff>
    </xdr:from>
    <xdr:to>
      <xdr:col>32</xdr:col>
      <xdr:colOff>354169</xdr:colOff>
      <xdr:row>46</xdr:row>
      <xdr:rowOff>10733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D42FA316-73A9-D3D9-9FA3-EACE6F7543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225380</xdr:colOff>
      <xdr:row>25</xdr:row>
      <xdr:rowOff>150253</xdr:rowOff>
    </xdr:from>
    <xdr:to>
      <xdr:col>10</xdr:col>
      <xdr:colOff>203915</xdr:colOff>
      <xdr:row>45</xdr:row>
      <xdr:rowOff>171718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A8EACA4C-B44F-E490-5FC2-F42B7B0A0A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364901</xdr:colOff>
      <xdr:row>25</xdr:row>
      <xdr:rowOff>160987</xdr:rowOff>
    </xdr:from>
    <xdr:to>
      <xdr:col>22</xdr:col>
      <xdr:colOff>150253</xdr:colOff>
      <xdr:row>46</xdr:row>
      <xdr:rowOff>10733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ED33491A-9F86-6460-DD11-42474D6A63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ish\Downloads\Samurai%20(1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rish Sabale" refreshedDate="46078.317632986109" createdVersion="8" refreshedVersion="8" minRefreshableVersion="3" recordCount="250" xr:uid="{A3F91038-9ED1-45EE-8EE1-A7E2AF0A8AF0}">
  <cacheSource type="worksheet">
    <worksheetSource name="Table1" r:id="rId2"/>
  </cacheSource>
  <cacheFields count="15">
    <cacheField name="Order ID" numFmtId="0">
      <sharedItems/>
    </cacheField>
    <cacheField name="Date" numFmtId="14">
      <sharedItems containsSemiMixedTypes="0" containsNonDate="0" containsDate="1" containsString="0" minDate="2025-01-02T00:00:00" maxDate="2025-12-29T00:00:00"/>
    </cacheField>
    <cacheField name="Region" numFmtId="0">
      <sharedItems count="5">
        <s v="East"/>
        <s v="South"/>
        <s v="West"/>
        <s v="North"/>
        <s v="International"/>
      </sharedItems>
    </cacheField>
    <cacheField name="Product" numFmtId="0">
      <sharedItems count="5">
        <s v="Security Hardware"/>
        <s v="ML Products"/>
        <s v="Cloud Storage"/>
        <s v="AI Suite"/>
        <s v="Block Chain Ledger"/>
      </sharedItems>
    </cacheField>
    <cacheField name="Sales Rep" numFmtId="0">
      <sharedItems count="5">
        <s v="Sham"/>
        <s v="Baburao"/>
        <s v="Ram"/>
        <s v="Tiwari"/>
        <s v="Saddam Ansari"/>
      </sharedItems>
    </cacheField>
    <cacheField name="Unit Sold" numFmtId="0">
      <sharedItems containsSemiMixedTypes="0" containsString="0" containsNumber="1" containsInteger="1" minValue="10" maxValue="199"/>
    </cacheField>
    <cacheField name="Unit price" numFmtId="0">
      <sharedItems containsSemiMixedTypes="0" containsString="0" containsNumber="1" containsInteger="1" minValue="507" maxValue="1996"/>
    </cacheField>
    <cacheField name="Gross Revenue" numFmtId="0">
      <sharedItems containsSemiMixedTypes="0" containsString="0" containsNumber="1" containsInteger="1" minValue="11810" maxValue="362593"/>
    </cacheField>
    <cacheField name="Tax(18%)" numFmtId="0">
      <sharedItems containsSemiMixedTypes="0" containsString="0" containsNumber="1" minValue="2125.7999999999997" maxValue="65266.74"/>
    </cacheField>
    <cacheField name="Shipping Fee" numFmtId="0">
      <sharedItems containsSemiMixedTypes="0" containsString="0" containsNumber="1" containsInteger="1" minValue="0" maxValue="100"/>
    </cacheField>
    <cacheField name="Discount %" numFmtId="0">
      <sharedItems containsSemiMixedTypes="0" containsString="0" containsNumber="1" minValue="0" maxValue="0.2"/>
    </cacheField>
    <cacheField name="Total Net Profit" numFmtId="0">
      <sharedItems containsSemiMixedTypes="0" containsString="0" containsNumber="1" minValue="8644.9680000000008" maxValue="279692.16000000003"/>
    </cacheField>
    <cacheField name="Status" numFmtId="0">
      <sharedItems/>
    </cacheField>
    <cacheField name="Customer Rating" numFmtId="0">
      <sharedItems containsSemiMixedTypes="0" containsString="0" containsNumber="1" containsInteger="1" minValue="1" maxValue="5"/>
    </cacheField>
    <cacheField name="Month" numFmtId="0">
      <sharedItems count="12">
        <s v="May"/>
        <s v="October"/>
        <s v="August"/>
        <s v="September"/>
        <s v="November"/>
        <s v="December"/>
        <s v="January"/>
        <s v="February"/>
        <s v="March"/>
        <s v="April"/>
        <s v="June"/>
        <s v="Jul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ORD001"/>
    <d v="2025-05-21T00:00:00"/>
    <x v="0"/>
    <x v="0"/>
    <x v="0"/>
    <n v="44"/>
    <n v="1773"/>
    <n v="78012"/>
    <n v="14042.16"/>
    <n v="100"/>
    <n v="0.11"/>
    <n v="56844.157599999999"/>
    <s v="Shipped"/>
    <n v="2"/>
    <x v="0"/>
  </r>
  <r>
    <s v="ORD002"/>
    <d v="2025-10-27T00:00:00"/>
    <x v="1"/>
    <x v="1"/>
    <x v="1"/>
    <n v="161"/>
    <n v="885"/>
    <n v="142485"/>
    <n v="25647.3"/>
    <n v="0"/>
    <n v="0.2"/>
    <n v="93470.16"/>
    <s v="Shipped"/>
    <n v="1"/>
    <x v="1"/>
  </r>
  <r>
    <s v="ORD003"/>
    <d v="2025-08-23T00:00:00"/>
    <x v="2"/>
    <x v="1"/>
    <x v="2"/>
    <n v="72"/>
    <n v="901"/>
    <n v="64872"/>
    <n v="11676.96"/>
    <n v="100"/>
    <n v="0.2"/>
    <n v="42476.032000000007"/>
    <s v="Shipped"/>
    <n v="2"/>
    <x v="2"/>
  </r>
  <r>
    <s v="ORD004"/>
    <d v="2025-10-25T00:00:00"/>
    <x v="3"/>
    <x v="2"/>
    <x v="0"/>
    <n v="91"/>
    <n v="1503"/>
    <n v="136773"/>
    <n v="24619.14"/>
    <n v="100"/>
    <n v="0.13"/>
    <n v="97486.858200000002"/>
    <s v="In-Progress"/>
    <n v="3"/>
    <x v="3"/>
  </r>
  <r>
    <s v="ORD005"/>
    <d v="2025-11-25T00:00:00"/>
    <x v="0"/>
    <x v="3"/>
    <x v="3"/>
    <n v="111"/>
    <n v="1154"/>
    <n v="128094"/>
    <n v="23056.92"/>
    <n v="0"/>
    <n v="0.12"/>
    <n v="92432.630400000009"/>
    <s v="Shipped"/>
    <n v="4"/>
    <x v="1"/>
  </r>
  <r>
    <s v="ORD006"/>
    <d v="2025-01-11T00:00:00"/>
    <x v="2"/>
    <x v="1"/>
    <x v="3"/>
    <n v="131"/>
    <n v="1546"/>
    <n v="202526"/>
    <n v="36454.68"/>
    <n v="0"/>
    <n v="0.06"/>
    <n v="156107.04079999999"/>
    <s v="Shipped"/>
    <n v="1"/>
    <x v="4"/>
  </r>
  <r>
    <s v="ORD007"/>
    <d v="2025-03-08T00:00:00"/>
    <x v="2"/>
    <x v="3"/>
    <x v="2"/>
    <n v="197"/>
    <n v="1222"/>
    <n v="240734"/>
    <n v="43332.119999999995"/>
    <n v="0"/>
    <n v="0.1"/>
    <n v="177661.69200000001"/>
    <s v="In-Progress"/>
    <n v="1"/>
    <x v="5"/>
  </r>
  <r>
    <s v="ORD008"/>
    <d v="2025-09-08T00:00:00"/>
    <x v="4"/>
    <x v="4"/>
    <x v="0"/>
    <n v="181"/>
    <n v="1946"/>
    <n v="352226"/>
    <n v="63400.68"/>
    <n v="0"/>
    <n v="0.05"/>
    <n v="274384.054"/>
    <s v="Cancled"/>
    <n v="1"/>
    <x v="6"/>
  </r>
  <r>
    <s v="ORD009"/>
    <d v="2025-10-28T00:00:00"/>
    <x v="0"/>
    <x v="0"/>
    <x v="0"/>
    <n v="50"/>
    <n v="608"/>
    <n v="30400"/>
    <n v="5472"/>
    <n v="100"/>
    <n v="7.0000000000000007E-2"/>
    <n v="23090.039999999997"/>
    <s v="Shipped"/>
    <n v="4"/>
    <x v="7"/>
  </r>
  <r>
    <s v="ORD010"/>
    <d v="2025-02-16T00:00:00"/>
    <x v="4"/>
    <x v="3"/>
    <x v="3"/>
    <n v="176"/>
    <n v="1938"/>
    <n v="341088"/>
    <n v="61395.839999999997"/>
    <n v="0"/>
    <n v="0"/>
    <n v="279692.16000000003"/>
    <s v="Cancled"/>
    <n v="1"/>
    <x v="8"/>
  </r>
  <r>
    <s v="ORD011"/>
    <d v="2025-04-10T00:00:00"/>
    <x v="3"/>
    <x v="0"/>
    <x v="0"/>
    <n v="158"/>
    <n v="1853"/>
    <n v="292774"/>
    <n v="52699.32"/>
    <n v="0"/>
    <n v="0.19"/>
    <n v="194460.4908"/>
    <s v="In-Progress"/>
    <n v="4"/>
    <x v="9"/>
  </r>
  <r>
    <s v="ORD012"/>
    <d v="2025-06-23T00:00:00"/>
    <x v="4"/>
    <x v="4"/>
    <x v="0"/>
    <n v="120"/>
    <n v="1672"/>
    <n v="200640"/>
    <n v="36115.199999999997"/>
    <n v="0"/>
    <n v="0.05"/>
    <n v="156298.55999999997"/>
    <s v="Cancled"/>
    <n v="3"/>
    <x v="0"/>
  </r>
  <r>
    <s v="ORD013"/>
    <d v="2025-04-27T00:00:00"/>
    <x v="4"/>
    <x v="2"/>
    <x v="0"/>
    <n v="82"/>
    <n v="568"/>
    <n v="46576"/>
    <n v="8383.68"/>
    <n v="100"/>
    <n v="0.1"/>
    <n v="34283.088000000003"/>
    <s v="In-Progress"/>
    <n v="4"/>
    <x v="10"/>
  </r>
  <r>
    <s v="ORD014"/>
    <d v="2025-12-21T00:00:00"/>
    <x v="1"/>
    <x v="4"/>
    <x v="0"/>
    <n v="167"/>
    <n v="1539"/>
    <n v="257013"/>
    <n v="46262.34"/>
    <n v="0"/>
    <n v="0.04"/>
    <n v="202320.6336"/>
    <s v="Shipped"/>
    <n v="1"/>
    <x v="11"/>
  </r>
  <r>
    <s v="ORD015"/>
    <d v="2025-07-21T00:00:00"/>
    <x v="4"/>
    <x v="3"/>
    <x v="2"/>
    <n v="127"/>
    <n v="569"/>
    <n v="72263"/>
    <n v="13007.34"/>
    <n v="0"/>
    <n v="0.09"/>
    <n v="53922.650600000008"/>
    <s v="Cancled"/>
    <n v="4"/>
    <x v="2"/>
  </r>
  <r>
    <s v="ORD016"/>
    <d v="2025-06-16T00:00:00"/>
    <x v="0"/>
    <x v="4"/>
    <x v="1"/>
    <n v="25"/>
    <n v="1560"/>
    <n v="39000"/>
    <n v="7020"/>
    <n v="100"/>
    <n v="0.08"/>
    <n v="29329.600000000002"/>
    <s v="Shipped"/>
    <n v="1"/>
    <x v="3"/>
  </r>
  <r>
    <s v="ORD017"/>
    <d v="2025-07-27T00:00:00"/>
    <x v="3"/>
    <x v="3"/>
    <x v="3"/>
    <n v="156"/>
    <n v="1852"/>
    <n v="288912"/>
    <n v="52004.159999999996"/>
    <n v="0"/>
    <n v="0.2"/>
    <n v="189526.272"/>
    <s v="Cancled"/>
    <n v="4"/>
    <x v="1"/>
  </r>
  <r>
    <s v="ORD018"/>
    <d v="2025-12-07T00:00:00"/>
    <x v="3"/>
    <x v="1"/>
    <x v="3"/>
    <n v="21"/>
    <n v="1358"/>
    <n v="28518"/>
    <n v="5133.24"/>
    <n v="100"/>
    <n v="0.17"/>
    <n v="19326.3508"/>
    <s v="Shipped"/>
    <n v="5"/>
    <x v="4"/>
  </r>
  <r>
    <s v="ORD019"/>
    <d v="2025-10-06T00:00:00"/>
    <x v="2"/>
    <x v="4"/>
    <x v="4"/>
    <n v="97"/>
    <n v="818"/>
    <n v="79346"/>
    <n v="14282.279999999999"/>
    <n v="100"/>
    <n v="0.1"/>
    <n v="58467.348000000005"/>
    <s v="Cancled"/>
    <n v="1"/>
    <x v="5"/>
  </r>
  <r>
    <s v="ORD020"/>
    <d v="2025-02-16T00:00:00"/>
    <x v="1"/>
    <x v="3"/>
    <x v="0"/>
    <n v="179"/>
    <n v="866"/>
    <n v="155014"/>
    <n v="27902.52"/>
    <n v="0"/>
    <n v="0.06"/>
    <n v="119484.79119999999"/>
    <s v="In-Progress"/>
    <n v="3"/>
    <x v="6"/>
  </r>
  <r>
    <s v="ORD021"/>
    <d v="2025-11-22T00:00:00"/>
    <x v="2"/>
    <x v="2"/>
    <x v="2"/>
    <n v="22"/>
    <n v="1633"/>
    <n v="35926"/>
    <n v="6466.6799999999994"/>
    <n v="100"/>
    <n v="0.01"/>
    <n v="29065.7268"/>
    <s v="Shipped"/>
    <n v="5"/>
    <x v="7"/>
  </r>
  <r>
    <s v="ORD022"/>
    <d v="2025-01-03T00:00:00"/>
    <x v="4"/>
    <x v="4"/>
    <x v="2"/>
    <n v="151"/>
    <n v="1787"/>
    <n v="269837"/>
    <n v="48570.659999999996"/>
    <n v="0"/>
    <n v="0.14000000000000001"/>
    <n v="190289.05239999999"/>
    <s v="Cancled"/>
    <n v="5"/>
    <x v="8"/>
  </r>
  <r>
    <s v="ORD023"/>
    <d v="2025-05-11T00:00:00"/>
    <x v="2"/>
    <x v="4"/>
    <x v="1"/>
    <n v="129"/>
    <n v="554"/>
    <n v="71466"/>
    <n v="12863.88"/>
    <n v="0"/>
    <n v="0.12"/>
    <n v="51569.865600000005"/>
    <s v="Shipped"/>
    <n v="3"/>
    <x v="9"/>
  </r>
  <r>
    <s v="ORD024"/>
    <d v="2025-11-24T00:00:00"/>
    <x v="4"/>
    <x v="1"/>
    <x v="3"/>
    <n v="120"/>
    <n v="1087"/>
    <n v="130440"/>
    <n v="23479.200000000001"/>
    <n v="0"/>
    <n v="0.08"/>
    <n v="98403.936000000002"/>
    <s v="Cancled"/>
    <n v="4"/>
    <x v="0"/>
  </r>
  <r>
    <s v="ORD025"/>
    <d v="2025-08-01T00:00:00"/>
    <x v="0"/>
    <x v="1"/>
    <x v="1"/>
    <n v="107"/>
    <n v="1183"/>
    <n v="126581"/>
    <n v="22784.579999999998"/>
    <n v="0"/>
    <n v="0.1"/>
    <n v="93416.778000000006"/>
    <s v="In-Progress"/>
    <n v="5"/>
    <x v="10"/>
  </r>
  <r>
    <s v="ORD026"/>
    <d v="2025-12-24T00:00:00"/>
    <x v="1"/>
    <x v="1"/>
    <x v="2"/>
    <n v="146"/>
    <n v="1760"/>
    <n v="256960"/>
    <n v="46252.799999999996"/>
    <n v="0"/>
    <n v="0.15"/>
    <n v="179101.12"/>
    <s v="Cancled"/>
    <n v="3"/>
    <x v="11"/>
  </r>
  <r>
    <s v="ORD027"/>
    <d v="2025-10-28T00:00:00"/>
    <x v="4"/>
    <x v="4"/>
    <x v="1"/>
    <n v="179"/>
    <n v="1522"/>
    <n v="272438"/>
    <n v="49038.84"/>
    <n v="0"/>
    <n v="0.17"/>
    <n v="185421.3028"/>
    <s v="Shipped"/>
    <n v="2"/>
    <x v="2"/>
  </r>
  <r>
    <s v="ORD028"/>
    <d v="2025-02-20T00:00:00"/>
    <x v="1"/>
    <x v="0"/>
    <x v="2"/>
    <n v="195"/>
    <n v="1193"/>
    <n v="232635"/>
    <n v="41874.299999999996"/>
    <n v="0"/>
    <n v="0.11"/>
    <n v="169777.02300000002"/>
    <s v="Shipped"/>
    <n v="3"/>
    <x v="3"/>
  </r>
  <r>
    <s v="ORD029"/>
    <d v="2025-09-12T00:00:00"/>
    <x v="2"/>
    <x v="4"/>
    <x v="4"/>
    <n v="50"/>
    <n v="1164"/>
    <n v="58200"/>
    <n v="10476"/>
    <n v="100"/>
    <n v="0.12"/>
    <n v="41909.120000000003"/>
    <s v="Cancled"/>
    <n v="5"/>
    <x v="1"/>
  </r>
  <r>
    <s v="ORD030"/>
    <d v="2025-10-04T00:00:00"/>
    <x v="1"/>
    <x v="0"/>
    <x v="0"/>
    <n v="31"/>
    <n v="618"/>
    <n v="19158"/>
    <n v="3448.44"/>
    <n v="100"/>
    <n v="0.06"/>
    <n v="14672.986399999998"/>
    <s v="Cancled"/>
    <n v="2"/>
    <x v="4"/>
  </r>
  <r>
    <s v="ORD031"/>
    <d v="2025-07-26T00:00:00"/>
    <x v="1"/>
    <x v="4"/>
    <x v="4"/>
    <n v="10"/>
    <n v="1181"/>
    <n v="11810"/>
    <n v="2125.7999999999997"/>
    <n v="100"/>
    <n v="0"/>
    <n v="9584.2000000000007"/>
    <s v="Shipped"/>
    <n v="4"/>
    <x v="5"/>
  </r>
  <r>
    <s v="ORD032"/>
    <d v="2025-03-08T00:00:00"/>
    <x v="0"/>
    <x v="2"/>
    <x v="0"/>
    <n v="179"/>
    <n v="1117"/>
    <n v="199943"/>
    <n v="35989.74"/>
    <n v="0"/>
    <n v="0.01"/>
    <n v="162313.7274"/>
    <s v="Cancled"/>
    <n v="5"/>
    <x v="6"/>
  </r>
  <r>
    <s v="ORD033"/>
    <d v="2025-01-03T00:00:00"/>
    <x v="4"/>
    <x v="0"/>
    <x v="3"/>
    <n v="62"/>
    <n v="762"/>
    <n v="47244"/>
    <n v="8503.92"/>
    <n v="100"/>
    <n v="0.19"/>
    <n v="31298.464800000005"/>
    <s v="Cancled"/>
    <n v="2"/>
    <x v="7"/>
  </r>
  <r>
    <s v="ORD034"/>
    <d v="2025-10-03T00:00:00"/>
    <x v="2"/>
    <x v="2"/>
    <x v="2"/>
    <n v="155"/>
    <n v="1907"/>
    <n v="295585"/>
    <n v="53205.299999999996"/>
    <n v="0"/>
    <n v="0.05"/>
    <n v="230260.715"/>
    <s v="In-Progress"/>
    <n v="2"/>
    <x v="8"/>
  </r>
  <r>
    <s v="ORD035"/>
    <d v="2025-07-13T00:00:00"/>
    <x v="2"/>
    <x v="3"/>
    <x v="2"/>
    <n v="90"/>
    <n v="1653"/>
    <n v="148770"/>
    <n v="26778.6"/>
    <n v="100"/>
    <n v="0.02"/>
    <n v="119453.57199999999"/>
    <s v="In-Progress"/>
    <n v="5"/>
    <x v="9"/>
  </r>
  <r>
    <s v="ORD036"/>
    <d v="2025-05-22T00:00:00"/>
    <x v="2"/>
    <x v="2"/>
    <x v="3"/>
    <n v="105"/>
    <n v="989"/>
    <n v="103845"/>
    <n v="18692.099999999999"/>
    <n v="0"/>
    <n v="0.2"/>
    <n v="68122.319999999992"/>
    <s v="Shipped"/>
    <n v="3"/>
    <x v="0"/>
  </r>
  <r>
    <s v="ORD037"/>
    <d v="2025-08-06T00:00:00"/>
    <x v="4"/>
    <x v="1"/>
    <x v="0"/>
    <n v="55"/>
    <n v="938"/>
    <n v="51590"/>
    <n v="9286.1999999999989"/>
    <n v="100"/>
    <n v="0.19"/>
    <n v="34185.078000000001"/>
    <s v="Shipped"/>
    <n v="3"/>
    <x v="10"/>
  </r>
  <r>
    <s v="ORD038"/>
    <d v="2025-01-18T00:00:00"/>
    <x v="1"/>
    <x v="1"/>
    <x v="0"/>
    <n v="76"/>
    <n v="1081"/>
    <n v="82156"/>
    <n v="14788.08"/>
    <n v="100"/>
    <n v="0.03"/>
    <n v="65249.882399999995"/>
    <s v="In-Progress"/>
    <n v="4"/>
    <x v="11"/>
  </r>
  <r>
    <s v="ORD039"/>
    <d v="2025-07-01T00:00:00"/>
    <x v="2"/>
    <x v="2"/>
    <x v="3"/>
    <n v="88"/>
    <n v="766"/>
    <n v="67408"/>
    <n v="12133.439999999999"/>
    <n v="100"/>
    <n v="0.11"/>
    <n v="49105.358399999997"/>
    <s v="Shipped"/>
    <n v="5"/>
    <x v="2"/>
  </r>
  <r>
    <s v="ORD040"/>
    <d v="2025-09-21T00:00:00"/>
    <x v="0"/>
    <x v="3"/>
    <x v="1"/>
    <n v="94"/>
    <n v="1453"/>
    <n v="136582"/>
    <n v="24584.76"/>
    <n v="100"/>
    <n v="0"/>
    <n v="111897.24"/>
    <s v="Shipped"/>
    <n v="1"/>
    <x v="3"/>
  </r>
  <r>
    <s v="ORD041"/>
    <d v="2025-02-08T00:00:00"/>
    <x v="3"/>
    <x v="0"/>
    <x v="0"/>
    <n v="125"/>
    <n v="1438"/>
    <n v="179750"/>
    <n v="32355"/>
    <n v="0"/>
    <n v="0.11"/>
    <n v="131181.54999999999"/>
    <s v="Cancled"/>
    <n v="2"/>
    <x v="1"/>
  </r>
  <r>
    <s v="ORD042"/>
    <d v="2025-07-01T00:00:00"/>
    <x v="4"/>
    <x v="3"/>
    <x v="3"/>
    <n v="119"/>
    <n v="1559"/>
    <n v="185521"/>
    <n v="33393.78"/>
    <n v="0"/>
    <n v="0.01"/>
    <n v="150605.94779999999"/>
    <s v="In-Progress"/>
    <n v="5"/>
    <x v="4"/>
  </r>
  <r>
    <s v="ORD043"/>
    <d v="2025-03-23T00:00:00"/>
    <x v="2"/>
    <x v="4"/>
    <x v="3"/>
    <n v="49"/>
    <n v="1350"/>
    <n v="66150"/>
    <n v="11907"/>
    <n v="100"/>
    <n v="0.11"/>
    <n v="48187.270000000004"/>
    <s v="In-Progress"/>
    <n v="3"/>
    <x v="5"/>
  </r>
  <r>
    <s v="ORD044"/>
    <d v="2025-04-06T00:00:00"/>
    <x v="4"/>
    <x v="3"/>
    <x v="3"/>
    <n v="174"/>
    <n v="652"/>
    <n v="113448"/>
    <n v="20420.64"/>
    <n v="0"/>
    <n v="0.06"/>
    <n v="87445.718399999998"/>
    <s v="Shipped"/>
    <n v="2"/>
    <x v="6"/>
  </r>
  <r>
    <s v="ORD045"/>
    <d v="2025-01-19T00:00:00"/>
    <x v="3"/>
    <x v="1"/>
    <x v="3"/>
    <n v="96"/>
    <n v="670"/>
    <n v="64320"/>
    <n v="11577.6"/>
    <n v="100"/>
    <n v="0.08"/>
    <n v="48431.008000000002"/>
    <s v="Cancled"/>
    <n v="2"/>
    <x v="7"/>
  </r>
  <r>
    <s v="ORD046"/>
    <d v="2025-10-07T00:00:00"/>
    <x v="1"/>
    <x v="2"/>
    <x v="2"/>
    <n v="11"/>
    <n v="1919"/>
    <n v="21109"/>
    <n v="3799.62"/>
    <n v="100"/>
    <n v="0.08"/>
    <n v="15832.629600000002"/>
    <s v="Cancled"/>
    <n v="4"/>
    <x v="8"/>
  </r>
  <r>
    <s v="ORD047"/>
    <d v="2025-10-21T00:00:00"/>
    <x v="4"/>
    <x v="4"/>
    <x v="0"/>
    <n v="44"/>
    <n v="1857"/>
    <n v="81708"/>
    <n v="14707.439999999999"/>
    <n v="100"/>
    <n v="0.13"/>
    <n v="58203.487199999996"/>
    <s v="In-Progress"/>
    <n v="2"/>
    <x v="9"/>
  </r>
  <r>
    <s v="ORD048"/>
    <d v="2025-07-12T00:00:00"/>
    <x v="2"/>
    <x v="0"/>
    <x v="2"/>
    <n v="83"/>
    <n v="1271"/>
    <n v="105493"/>
    <n v="18988.739999999998"/>
    <n v="100"/>
    <n v="0.19"/>
    <n v="69987.450600000011"/>
    <s v="Cancled"/>
    <n v="3"/>
    <x v="0"/>
  </r>
  <r>
    <s v="ORD049"/>
    <d v="2025-08-11T00:00:00"/>
    <x v="4"/>
    <x v="4"/>
    <x v="1"/>
    <n v="145"/>
    <n v="1555"/>
    <n v="225475"/>
    <n v="40585.5"/>
    <n v="0"/>
    <n v="7.0000000000000007E-2"/>
    <n v="171947.23499999999"/>
    <s v="Cancled"/>
    <n v="4"/>
    <x v="10"/>
  </r>
  <r>
    <s v="ORD050"/>
    <d v="2025-12-28T00:00:00"/>
    <x v="1"/>
    <x v="1"/>
    <x v="2"/>
    <n v="132"/>
    <n v="1263"/>
    <n v="166716"/>
    <n v="30008.879999999997"/>
    <n v="0"/>
    <n v="0.12"/>
    <n v="120302.2656"/>
    <s v="Cancled"/>
    <n v="2"/>
    <x v="11"/>
  </r>
  <r>
    <s v="ORD051"/>
    <d v="2025-01-12T00:00:00"/>
    <x v="4"/>
    <x v="2"/>
    <x v="4"/>
    <n v="189"/>
    <n v="832"/>
    <n v="157248"/>
    <n v="28304.639999999999"/>
    <n v="0"/>
    <n v="0.18"/>
    <n v="105733.5552"/>
    <s v="Shipped"/>
    <n v="1"/>
    <x v="2"/>
  </r>
  <r>
    <s v="ORD052"/>
    <d v="2025-06-14T00:00:00"/>
    <x v="0"/>
    <x v="0"/>
    <x v="1"/>
    <n v="75"/>
    <n v="1611"/>
    <n v="120825"/>
    <n v="21748.5"/>
    <n v="100"/>
    <n v="0.02"/>
    <n v="96996.97"/>
    <s v="Cancled"/>
    <n v="2"/>
    <x v="3"/>
  </r>
  <r>
    <s v="ORD053"/>
    <d v="2025-03-25T00:00:00"/>
    <x v="4"/>
    <x v="3"/>
    <x v="4"/>
    <n v="174"/>
    <n v="1722"/>
    <n v="299628"/>
    <n v="53933.04"/>
    <n v="0"/>
    <n v="7.0000000000000007E-2"/>
    <n v="228496.31279999999"/>
    <s v="In-Progress"/>
    <n v="2"/>
    <x v="1"/>
  </r>
  <r>
    <s v="ORD054"/>
    <d v="2025-03-03T00:00:00"/>
    <x v="3"/>
    <x v="0"/>
    <x v="0"/>
    <n v="64"/>
    <n v="1608"/>
    <n v="102912"/>
    <n v="18524.16"/>
    <n v="100"/>
    <n v="0.04"/>
    <n v="80916.326399999991"/>
    <s v="Shipped"/>
    <n v="5"/>
    <x v="4"/>
  </r>
  <r>
    <s v="ORD055"/>
    <d v="2025-04-07T00:00:00"/>
    <x v="0"/>
    <x v="1"/>
    <x v="2"/>
    <n v="56"/>
    <n v="1369"/>
    <n v="76664"/>
    <n v="13799.519999999999"/>
    <n v="100"/>
    <n v="0.18"/>
    <n v="51466.873600000006"/>
    <s v="Shipped"/>
    <n v="3"/>
    <x v="5"/>
  </r>
  <r>
    <s v="ORD056"/>
    <d v="2025-08-13T00:00:00"/>
    <x v="0"/>
    <x v="0"/>
    <x v="1"/>
    <n v="14"/>
    <n v="1284"/>
    <n v="17976"/>
    <n v="3235.68"/>
    <n v="100"/>
    <n v="0.08"/>
    <n v="13469.0944"/>
    <s v="In-Progress"/>
    <n v="1"/>
    <x v="6"/>
  </r>
  <r>
    <s v="ORD057"/>
    <d v="2025-11-13T00:00:00"/>
    <x v="3"/>
    <x v="4"/>
    <x v="3"/>
    <n v="55"/>
    <n v="1559"/>
    <n v="85745"/>
    <n v="15434.099999999999"/>
    <n v="100"/>
    <n v="0.18"/>
    <n v="57572.938000000002"/>
    <s v="In-Progress"/>
    <n v="3"/>
    <x v="7"/>
  </r>
  <r>
    <s v="ORD058"/>
    <d v="2025-04-13T00:00:00"/>
    <x v="2"/>
    <x v="0"/>
    <x v="4"/>
    <n v="36"/>
    <n v="1107"/>
    <n v="39852"/>
    <n v="7173.36"/>
    <n v="100"/>
    <n v="0.15"/>
    <n v="27691.843999999997"/>
    <s v="Cancled"/>
    <n v="2"/>
    <x v="8"/>
  </r>
  <r>
    <s v="ORD059"/>
    <d v="2025-09-26T00:00:00"/>
    <x v="0"/>
    <x v="2"/>
    <x v="1"/>
    <n v="84"/>
    <n v="1570"/>
    <n v="131880"/>
    <n v="23738.399999999998"/>
    <n v="100"/>
    <n v="0.09"/>
    <n v="98317.856000000014"/>
    <s v="In-Progress"/>
    <n v="4"/>
    <x v="9"/>
  </r>
  <r>
    <s v="ORD060"/>
    <d v="2025-08-21T00:00:00"/>
    <x v="4"/>
    <x v="1"/>
    <x v="0"/>
    <n v="10"/>
    <n v="1770"/>
    <n v="17700"/>
    <n v="3186"/>
    <n v="100"/>
    <n v="0.12"/>
    <n v="12684.32"/>
    <s v="In-Progress"/>
    <n v="1"/>
    <x v="0"/>
  </r>
  <r>
    <s v="ORD061"/>
    <d v="2025-01-02T00:00:00"/>
    <x v="4"/>
    <x v="3"/>
    <x v="0"/>
    <n v="53"/>
    <n v="1648"/>
    <n v="87344"/>
    <n v="15721.92"/>
    <n v="100"/>
    <n v="7.0000000000000007E-2"/>
    <n v="66515.534400000004"/>
    <s v="Cancled"/>
    <n v="2"/>
    <x v="10"/>
  </r>
  <r>
    <s v="ORD062"/>
    <d v="2025-02-28T00:00:00"/>
    <x v="1"/>
    <x v="1"/>
    <x v="2"/>
    <n v="76"/>
    <n v="1009"/>
    <n v="76684"/>
    <n v="13803.119999999999"/>
    <n v="100"/>
    <n v="0.18"/>
    <n v="51480.32160000001"/>
    <s v="In-Progress"/>
    <n v="3"/>
    <x v="11"/>
  </r>
  <r>
    <s v="ORD063"/>
    <d v="2025-11-20T00:00:00"/>
    <x v="0"/>
    <x v="2"/>
    <x v="0"/>
    <n v="31"/>
    <n v="1443"/>
    <n v="44733"/>
    <n v="8051.94"/>
    <n v="100"/>
    <n v="0.11"/>
    <n v="32557.143399999997"/>
    <s v="Cancled"/>
    <n v="4"/>
    <x v="2"/>
  </r>
  <r>
    <s v="ORD064"/>
    <d v="2025-05-24T00:00:00"/>
    <x v="1"/>
    <x v="3"/>
    <x v="4"/>
    <n v="114"/>
    <n v="1449"/>
    <n v="165186"/>
    <n v="29733.48"/>
    <n v="0"/>
    <n v="0.1"/>
    <n v="121907.268"/>
    <s v="Cancled"/>
    <n v="3"/>
    <x v="3"/>
  </r>
  <r>
    <s v="ORD065"/>
    <d v="2025-02-11T00:00:00"/>
    <x v="3"/>
    <x v="2"/>
    <x v="0"/>
    <n v="130"/>
    <n v="567"/>
    <n v="73710"/>
    <n v="13267.8"/>
    <n v="0"/>
    <n v="0.09"/>
    <n v="55002.402000000002"/>
    <s v="In-Progress"/>
    <n v="1"/>
    <x v="1"/>
  </r>
  <r>
    <s v="ORD066"/>
    <d v="2025-02-25T00:00:00"/>
    <x v="4"/>
    <x v="4"/>
    <x v="4"/>
    <n v="65"/>
    <n v="711"/>
    <n v="46215"/>
    <n v="8318.6999999999989"/>
    <n v="100"/>
    <n v="0.05"/>
    <n v="35906.485000000001"/>
    <s v="Cancled"/>
    <n v="5"/>
    <x v="4"/>
  </r>
  <r>
    <s v="ORD067"/>
    <d v="2025-04-05T00:00:00"/>
    <x v="2"/>
    <x v="4"/>
    <x v="4"/>
    <n v="159"/>
    <n v="615"/>
    <n v="97785"/>
    <n v="17601.3"/>
    <n v="0"/>
    <n v="0.02"/>
    <n v="78580.025999999998"/>
    <s v="Cancled"/>
    <n v="4"/>
    <x v="5"/>
  </r>
  <r>
    <s v="ORD068"/>
    <d v="2025-11-13T00:00:00"/>
    <x v="1"/>
    <x v="3"/>
    <x v="2"/>
    <n v="150"/>
    <n v="1875"/>
    <n v="281250"/>
    <n v="50625"/>
    <n v="0"/>
    <n v="0.05"/>
    <n v="219093.75"/>
    <s v="In-Progress"/>
    <n v="2"/>
    <x v="6"/>
  </r>
  <r>
    <s v="ORD069"/>
    <d v="2025-11-14T00:00:00"/>
    <x v="2"/>
    <x v="0"/>
    <x v="0"/>
    <n v="49"/>
    <n v="1662"/>
    <n v="81438"/>
    <n v="14658.84"/>
    <n v="100"/>
    <n v="0.15"/>
    <n v="56677.286"/>
    <s v="Shipped"/>
    <n v="4"/>
    <x v="7"/>
  </r>
  <r>
    <s v="ORD070"/>
    <d v="2025-05-09T00:00:00"/>
    <x v="0"/>
    <x v="3"/>
    <x v="2"/>
    <n v="76"/>
    <n v="892"/>
    <n v="67792"/>
    <n v="12202.56"/>
    <n v="100"/>
    <n v="0.1"/>
    <n v="49940.496000000006"/>
    <s v="In-Progress"/>
    <n v="5"/>
    <x v="8"/>
  </r>
  <r>
    <s v="ORD071"/>
    <d v="2025-09-22T00:00:00"/>
    <x v="3"/>
    <x v="0"/>
    <x v="1"/>
    <n v="20"/>
    <n v="917"/>
    <n v="18340"/>
    <n v="3301.2"/>
    <n v="100"/>
    <n v="0.08"/>
    <n v="13743.696"/>
    <s v="Cancled"/>
    <n v="5"/>
    <x v="9"/>
  </r>
  <r>
    <s v="ORD072"/>
    <d v="2025-08-08T00:00:00"/>
    <x v="3"/>
    <x v="0"/>
    <x v="4"/>
    <n v="17"/>
    <n v="1881"/>
    <n v="31977"/>
    <n v="5755.86"/>
    <n v="100"/>
    <n v="0"/>
    <n v="26121.14"/>
    <s v="Cancled"/>
    <n v="2"/>
    <x v="0"/>
  </r>
  <r>
    <s v="ORD073"/>
    <d v="2025-12-25T00:00:00"/>
    <x v="4"/>
    <x v="2"/>
    <x v="4"/>
    <n v="155"/>
    <n v="588"/>
    <n v="91140"/>
    <n v="16405.2"/>
    <n v="0"/>
    <n v="0.03"/>
    <n v="72492.755999999994"/>
    <s v="In-Progress"/>
    <n v="3"/>
    <x v="10"/>
  </r>
  <r>
    <s v="ORD074"/>
    <d v="2025-06-23T00:00:00"/>
    <x v="0"/>
    <x v="4"/>
    <x v="3"/>
    <n v="78"/>
    <n v="534"/>
    <n v="41652"/>
    <n v="7497.36"/>
    <n v="100"/>
    <n v="0.12"/>
    <n v="29968.083200000001"/>
    <s v="Cancled"/>
    <n v="1"/>
    <x v="11"/>
  </r>
  <r>
    <s v="ORD075"/>
    <d v="2025-08-24T00:00:00"/>
    <x v="2"/>
    <x v="0"/>
    <x v="4"/>
    <n v="119"/>
    <n v="1582"/>
    <n v="188258"/>
    <n v="33886.44"/>
    <n v="0"/>
    <n v="0.16"/>
    <n v="129672.11039999999"/>
    <s v="Cancled"/>
    <n v="2"/>
    <x v="2"/>
  </r>
  <r>
    <s v="ORD076"/>
    <d v="2025-01-16T00:00:00"/>
    <x v="1"/>
    <x v="4"/>
    <x v="0"/>
    <n v="22"/>
    <n v="1905"/>
    <n v="41910"/>
    <n v="7543.7999999999993"/>
    <n v="100"/>
    <n v="0.11"/>
    <n v="30496.917999999998"/>
    <s v="In-Progress"/>
    <n v="3"/>
    <x v="3"/>
  </r>
  <r>
    <s v="ORD077"/>
    <d v="2025-03-16T00:00:00"/>
    <x v="2"/>
    <x v="2"/>
    <x v="2"/>
    <n v="164"/>
    <n v="1692"/>
    <n v="277488"/>
    <n v="49947.839999999997"/>
    <n v="0"/>
    <n v="0.04"/>
    <n v="218438.55359999998"/>
    <s v="Shipped"/>
    <n v="1"/>
    <x v="1"/>
  </r>
  <r>
    <s v="ORD078"/>
    <d v="2025-07-07T00:00:00"/>
    <x v="1"/>
    <x v="2"/>
    <x v="0"/>
    <n v="114"/>
    <n v="1099"/>
    <n v="125286"/>
    <n v="22551.48"/>
    <n v="0"/>
    <n v="0.18"/>
    <n v="84242.306400000016"/>
    <s v="In-Progress"/>
    <n v="2"/>
    <x v="4"/>
  </r>
  <r>
    <s v="ORD079"/>
    <d v="2025-08-07T00:00:00"/>
    <x v="4"/>
    <x v="0"/>
    <x v="1"/>
    <n v="76"/>
    <n v="1526"/>
    <n v="115976"/>
    <n v="20875.68"/>
    <n v="100"/>
    <n v="0.06"/>
    <n v="89300.300799999997"/>
    <s v="In-Progress"/>
    <n v="1"/>
    <x v="5"/>
  </r>
  <r>
    <s v="ORD080"/>
    <d v="2025-10-26T00:00:00"/>
    <x v="3"/>
    <x v="3"/>
    <x v="4"/>
    <n v="107"/>
    <n v="788"/>
    <n v="84316"/>
    <n v="15176.88"/>
    <n v="0"/>
    <n v="0.06"/>
    <n v="64990.772799999992"/>
    <s v="Cancled"/>
    <n v="3"/>
    <x v="6"/>
  </r>
  <r>
    <s v="ORD081"/>
    <d v="2025-02-05T00:00:00"/>
    <x v="2"/>
    <x v="2"/>
    <x v="4"/>
    <n v="145"/>
    <n v="1369"/>
    <n v="198505"/>
    <n v="35730.9"/>
    <n v="0"/>
    <n v="0"/>
    <n v="162774.1"/>
    <s v="Shipped"/>
    <n v="3"/>
    <x v="7"/>
  </r>
  <r>
    <s v="ORD082"/>
    <d v="2025-09-24T00:00:00"/>
    <x v="1"/>
    <x v="1"/>
    <x v="3"/>
    <n v="134"/>
    <n v="949"/>
    <n v="127166"/>
    <n v="22889.879999999997"/>
    <n v="0"/>
    <n v="0.11"/>
    <n v="92805.746799999994"/>
    <s v="Cancled"/>
    <n v="3"/>
    <x v="8"/>
  </r>
  <r>
    <s v="ORD083"/>
    <d v="2025-11-22T00:00:00"/>
    <x v="2"/>
    <x v="1"/>
    <x v="2"/>
    <n v="134"/>
    <n v="905"/>
    <n v="121270"/>
    <n v="21828.6"/>
    <n v="0"/>
    <n v="0.12"/>
    <n v="87508.432000000001"/>
    <s v="In-Progress"/>
    <n v="3"/>
    <x v="9"/>
  </r>
  <r>
    <s v="ORD084"/>
    <d v="2025-03-23T00:00:00"/>
    <x v="4"/>
    <x v="1"/>
    <x v="0"/>
    <n v="132"/>
    <n v="1096"/>
    <n v="144672"/>
    <n v="26040.959999999999"/>
    <n v="0"/>
    <n v="0.04"/>
    <n v="113885.7984"/>
    <s v="Shipped"/>
    <n v="5"/>
    <x v="0"/>
  </r>
  <r>
    <s v="ORD085"/>
    <d v="2025-12-17T00:00:00"/>
    <x v="3"/>
    <x v="3"/>
    <x v="0"/>
    <n v="76"/>
    <n v="1704"/>
    <n v="129504"/>
    <n v="23310.719999999998"/>
    <n v="100"/>
    <n v="0.1"/>
    <n v="95483.952000000005"/>
    <s v="Cancled"/>
    <n v="1"/>
    <x v="10"/>
  </r>
  <r>
    <s v="ORD086"/>
    <d v="2025-07-27T00:00:00"/>
    <x v="2"/>
    <x v="0"/>
    <x v="1"/>
    <n v="98"/>
    <n v="739"/>
    <n v="72422"/>
    <n v="13035.96"/>
    <n v="100"/>
    <n v="0.1"/>
    <n v="53357.436000000002"/>
    <s v="In-Progress"/>
    <n v="2"/>
    <x v="11"/>
  </r>
  <r>
    <s v="ORD087"/>
    <d v="2025-02-26T00:00:00"/>
    <x v="1"/>
    <x v="2"/>
    <x v="4"/>
    <n v="76"/>
    <n v="1844"/>
    <n v="140144"/>
    <n v="25225.919999999998"/>
    <n v="100"/>
    <n v="0.05"/>
    <n v="109077.17599999999"/>
    <s v="In-Progress"/>
    <n v="3"/>
    <x v="2"/>
  </r>
  <r>
    <s v="ORD088"/>
    <d v="2025-11-10T00:00:00"/>
    <x v="3"/>
    <x v="1"/>
    <x v="0"/>
    <n v="59"/>
    <n v="1592"/>
    <n v="93928"/>
    <n v="16907.04"/>
    <n v="100"/>
    <n v="0.08"/>
    <n v="70767.283199999991"/>
    <s v="Cancled"/>
    <n v="4"/>
    <x v="3"/>
  </r>
  <r>
    <s v="ORD089"/>
    <d v="2025-09-02T00:00:00"/>
    <x v="1"/>
    <x v="0"/>
    <x v="2"/>
    <n v="139"/>
    <n v="1486"/>
    <n v="206554"/>
    <n v="37179.72"/>
    <n v="0"/>
    <n v="0.05"/>
    <n v="160905.56599999999"/>
    <s v="In-Progress"/>
    <n v="4"/>
    <x v="1"/>
  </r>
  <r>
    <s v="ORD090"/>
    <d v="2025-03-26T00:00:00"/>
    <x v="4"/>
    <x v="4"/>
    <x v="0"/>
    <n v="91"/>
    <n v="1585"/>
    <n v="144235"/>
    <n v="25962.3"/>
    <n v="100"/>
    <n v="7.0000000000000007E-2"/>
    <n v="109900.61099999999"/>
    <s v="In-Progress"/>
    <n v="3"/>
    <x v="4"/>
  </r>
  <r>
    <s v="ORD091"/>
    <d v="2025-04-08T00:00:00"/>
    <x v="0"/>
    <x v="3"/>
    <x v="0"/>
    <n v="29"/>
    <n v="1106"/>
    <n v="32074"/>
    <n v="5773.32"/>
    <n v="100"/>
    <n v="0.18"/>
    <n v="21484.5576"/>
    <s v="Shipped"/>
    <n v="2"/>
    <x v="5"/>
  </r>
  <r>
    <s v="ORD092"/>
    <d v="2025-04-12T00:00:00"/>
    <x v="0"/>
    <x v="4"/>
    <x v="4"/>
    <n v="113"/>
    <n v="1738"/>
    <n v="196394"/>
    <n v="35350.92"/>
    <n v="0"/>
    <n v="0.1"/>
    <n v="144938.77200000003"/>
    <s v="Cancled"/>
    <n v="1"/>
    <x v="6"/>
  </r>
  <r>
    <s v="ORD093"/>
    <d v="2025-05-22T00:00:00"/>
    <x v="2"/>
    <x v="1"/>
    <x v="4"/>
    <n v="84"/>
    <n v="1000"/>
    <n v="84000"/>
    <n v="15120"/>
    <n v="100"/>
    <n v="0.03"/>
    <n v="66716.599999999991"/>
    <s v="Shipped"/>
    <n v="4"/>
    <x v="7"/>
  </r>
  <r>
    <s v="ORD094"/>
    <d v="2025-12-20T00:00:00"/>
    <x v="1"/>
    <x v="2"/>
    <x v="4"/>
    <n v="189"/>
    <n v="568"/>
    <n v="107352"/>
    <n v="19323.36"/>
    <n v="0"/>
    <n v="0.18"/>
    <n v="72183.484800000006"/>
    <s v="In-Progress"/>
    <n v="5"/>
    <x v="8"/>
  </r>
  <r>
    <s v="ORD095"/>
    <d v="2025-10-10T00:00:00"/>
    <x v="0"/>
    <x v="2"/>
    <x v="1"/>
    <n v="128"/>
    <n v="757"/>
    <n v="96896"/>
    <n v="17441.28"/>
    <n v="0"/>
    <n v="0.08"/>
    <n v="73098.342400000009"/>
    <s v="Cancled"/>
    <n v="5"/>
    <x v="9"/>
  </r>
  <r>
    <s v="ORD096"/>
    <d v="2025-01-08T00:00:00"/>
    <x v="0"/>
    <x v="4"/>
    <x v="2"/>
    <n v="130"/>
    <n v="635"/>
    <n v="82550"/>
    <n v="14859"/>
    <n v="0"/>
    <n v="7.0000000000000007E-2"/>
    <n v="62952.63"/>
    <s v="Cancled"/>
    <n v="3"/>
    <x v="0"/>
  </r>
  <r>
    <s v="ORD097"/>
    <d v="2025-01-03T00:00:00"/>
    <x v="1"/>
    <x v="3"/>
    <x v="0"/>
    <n v="29"/>
    <n v="1218"/>
    <n v="35322"/>
    <n v="6357.96"/>
    <n v="100"/>
    <n v="0.09"/>
    <n v="26266.276400000002"/>
    <s v="Cancled"/>
    <n v="3"/>
    <x v="10"/>
  </r>
  <r>
    <s v="ORD098"/>
    <d v="2025-11-14T00:00:00"/>
    <x v="4"/>
    <x v="0"/>
    <x v="2"/>
    <n v="40"/>
    <n v="1041"/>
    <n v="41640"/>
    <n v="7495.2"/>
    <n v="100"/>
    <n v="0.15"/>
    <n v="28938.080000000002"/>
    <s v="Shipped"/>
    <n v="4"/>
    <x v="11"/>
  </r>
  <r>
    <s v="ORD099"/>
    <d v="2025-12-23T00:00:00"/>
    <x v="0"/>
    <x v="4"/>
    <x v="2"/>
    <n v="69"/>
    <n v="1510"/>
    <n v="104190"/>
    <n v="18754.2"/>
    <n v="100"/>
    <n v="0.09"/>
    <n v="77655.578000000009"/>
    <s v="Shipped"/>
    <n v="1"/>
    <x v="2"/>
  </r>
  <r>
    <s v="ORD100"/>
    <d v="2025-09-19T00:00:00"/>
    <x v="0"/>
    <x v="2"/>
    <x v="4"/>
    <n v="119"/>
    <n v="910"/>
    <n v="108290"/>
    <n v="19492.2"/>
    <n v="0"/>
    <n v="0.09"/>
    <n v="80805.998000000007"/>
    <s v="Cancled"/>
    <n v="2"/>
    <x v="3"/>
  </r>
  <r>
    <s v="ORD101"/>
    <d v="2025-07-05T00:00:00"/>
    <x v="1"/>
    <x v="0"/>
    <x v="3"/>
    <n v="70"/>
    <n v="1828"/>
    <n v="127960"/>
    <n v="23032.799999999999"/>
    <n v="100"/>
    <n v="0.09"/>
    <n v="95392.752000000008"/>
    <s v="In-Progress"/>
    <n v="4"/>
    <x v="1"/>
  </r>
  <r>
    <s v="ORD102"/>
    <d v="2025-07-12T00:00:00"/>
    <x v="1"/>
    <x v="1"/>
    <x v="3"/>
    <n v="37"/>
    <n v="720"/>
    <n v="26640"/>
    <n v="4795.2"/>
    <n v="100"/>
    <n v="0.16"/>
    <n v="18265.631999999998"/>
    <s v="In-Progress"/>
    <n v="4"/>
    <x v="4"/>
  </r>
  <r>
    <s v="ORD103"/>
    <d v="2025-05-17T00:00:00"/>
    <x v="0"/>
    <x v="1"/>
    <x v="2"/>
    <n v="61"/>
    <n v="525"/>
    <n v="32025"/>
    <n v="5764.5"/>
    <n v="100"/>
    <n v="0.13"/>
    <n v="22759.634999999998"/>
    <s v="Cancled"/>
    <n v="3"/>
    <x v="5"/>
  </r>
  <r>
    <s v="ORD104"/>
    <d v="2025-03-02T00:00:00"/>
    <x v="2"/>
    <x v="3"/>
    <x v="2"/>
    <n v="156"/>
    <n v="1269"/>
    <n v="197964"/>
    <n v="35633.519999999997"/>
    <n v="0"/>
    <n v="0.16"/>
    <n v="136357.60320000001"/>
    <s v="In-Progress"/>
    <n v="5"/>
    <x v="6"/>
  </r>
  <r>
    <s v="ORD105"/>
    <d v="2025-02-08T00:00:00"/>
    <x v="4"/>
    <x v="4"/>
    <x v="4"/>
    <n v="146"/>
    <n v="823"/>
    <n v="120158"/>
    <n v="21628.44"/>
    <n v="0"/>
    <n v="0.1"/>
    <n v="88676.604000000007"/>
    <s v="Cancled"/>
    <n v="1"/>
    <x v="7"/>
  </r>
  <r>
    <s v="ORD106"/>
    <d v="2025-05-06T00:00:00"/>
    <x v="2"/>
    <x v="1"/>
    <x v="2"/>
    <n v="22"/>
    <n v="1771"/>
    <n v="38962"/>
    <n v="7013.16"/>
    <n v="100"/>
    <n v="0.09"/>
    <n v="28982.4444"/>
    <s v="Cancled"/>
    <n v="2"/>
    <x v="8"/>
  </r>
  <r>
    <s v="ORD107"/>
    <d v="2025-02-06T00:00:00"/>
    <x v="3"/>
    <x v="2"/>
    <x v="2"/>
    <n v="170"/>
    <n v="1005"/>
    <n v="170850"/>
    <n v="30753"/>
    <n v="0"/>
    <n v="0.14000000000000001"/>
    <n v="120483.42"/>
    <s v="Shipped"/>
    <n v="4"/>
    <x v="9"/>
  </r>
  <r>
    <s v="ORD108"/>
    <d v="2025-02-10T00:00:00"/>
    <x v="1"/>
    <x v="0"/>
    <x v="4"/>
    <n v="22"/>
    <n v="862"/>
    <n v="18964"/>
    <n v="3413.52"/>
    <n v="100"/>
    <n v="0.11"/>
    <n v="13750.9272"/>
    <s v="Shipped"/>
    <n v="4"/>
    <x v="0"/>
  </r>
  <r>
    <s v="ORD109"/>
    <d v="2025-12-17T00:00:00"/>
    <x v="1"/>
    <x v="0"/>
    <x v="3"/>
    <n v="169"/>
    <n v="1239"/>
    <n v="209391"/>
    <n v="37690.379999999997"/>
    <n v="0"/>
    <n v="0.01"/>
    <n v="169983.61379999999"/>
    <s v="Cancled"/>
    <n v="3"/>
    <x v="10"/>
  </r>
  <r>
    <s v="ORD110"/>
    <d v="2025-08-23T00:00:00"/>
    <x v="3"/>
    <x v="0"/>
    <x v="3"/>
    <n v="178"/>
    <n v="596"/>
    <n v="106088"/>
    <n v="19095.84"/>
    <n v="0"/>
    <n v="7.0000000000000007E-2"/>
    <n v="80902.708799999993"/>
    <s v="In-Progress"/>
    <n v="4"/>
    <x v="11"/>
  </r>
  <r>
    <s v="ORD111"/>
    <d v="2025-05-27T00:00:00"/>
    <x v="3"/>
    <x v="3"/>
    <x v="2"/>
    <n v="11"/>
    <n v="1076"/>
    <n v="11836"/>
    <n v="2130.48"/>
    <n v="100"/>
    <n v="0.1"/>
    <n v="8644.9680000000008"/>
    <s v="Shipped"/>
    <n v="4"/>
    <x v="2"/>
  </r>
  <r>
    <s v="ORD112"/>
    <d v="2025-06-02T00:00:00"/>
    <x v="1"/>
    <x v="2"/>
    <x v="3"/>
    <n v="135"/>
    <n v="1105"/>
    <n v="149175"/>
    <n v="26851.5"/>
    <n v="0"/>
    <n v="0.02"/>
    <n v="119877.03"/>
    <s v="Cancled"/>
    <n v="1"/>
    <x v="3"/>
  </r>
  <r>
    <s v="ORD113"/>
    <d v="2025-12-13T00:00:00"/>
    <x v="2"/>
    <x v="2"/>
    <x v="1"/>
    <n v="69"/>
    <n v="1483"/>
    <n v="102327"/>
    <n v="18418.86"/>
    <n v="100"/>
    <n v="0.2"/>
    <n v="67046.512000000002"/>
    <s v="Cancled"/>
    <n v="3"/>
    <x v="1"/>
  </r>
  <r>
    <s v="ORD114"/>
    <d v="2025-10-25T00:00:00"/>
    <x v="2"/>
    <x v="4"/>
    <x v="1"/>
    <n v="175"/>
    <n v="706"/>
    <n v="123550"/>
    <n v="22239"/>
    <n v="0"/>
    <n v="0.18"/>
    <n v="83075.02"/>
    <s v="Cancled"/>
    <n v="1"/>
    <x v="4"/>
  </r>
  <r>
    <s v="ORD115"/>
    <d v="2025-08-12T00:00:00"/>
    <x v="2"/>
    <x v="1"/>
    <x v="1"/>
    <n v="161"/>
    <n v="1178"/>
    <n v="189658"/>
    <n v="34138.44"/>
    <n v="0"/>
    <n v="0.18"/>
    <n v="127526.03920000001"/>
    <s v="Shipped"/>
    <n v="1"/>
    <x v="5"/>
  </r>
  <r>
    <s v="ORD116"/>
    <d v="2025-04-12T00:00:00"/>
    <x v="3"/>
    <x v="0"/>
    <x v="0"/>
    <n v="103"/>
    <n v="812"/>
    <n v="83636"/>
    <n v="15054.48"/>
    <n v="0"/>
    <n v="0.01"/>
    <n v="67895.704800000007"/>
    <s v="In-Progress"/>
    <n v="1"/>
    <x v="6"/>
  </r>
  <r>
    <s v="ORD117"/>
    <d v="2025-12-06T00:00:00"/>
    <x v="3"/>
    <x v="3"/>
    <x v="3"/>
    <n v="68"/>
    <n v="1827"/>
    <n v="124236"/>
    <n v="22362.48"/>
    <n v="100"/>
    <n v="0.09"/>
    <n v="92613.903200000001"/>
    <s v="Shipped"/>
    <n v="1"/>
    <x v="7"/>
  </r>
  <r>
    <s v="ORD118"/>
    <d v="2025-05-03T00:00:00"/>
    <x v="2"/>
    <x v="1"/>
    <x v="0"/>
    <n v="48"/>
    <n v="1587"/>
    <n v="76176"/>
    <n v="13711.68"/>
    <n v="100"/>
    <n v="7.0000000000000007E-2"/>
    <n v="57998.817599999995"/>
    <s v="Shipped"/>
    <n v="3"/>
    <x v="8"/>
  </r>
  <r>
    <s v="ORD119"/>
    <d v="2025-01-13T00:00:00"/>
    <x v="0"/>
    <x v="1"/>
    <x v="0"/>
    <n v="89"/>
    <n v="1077"/>
    <n v="95853"/>
    <n v="17253.54"/>
    <n v="100"/>
    <n v="0.14000000000000001"/>
    <n v="67509.535599999988"/>
    <s v="Cancled"/>
    <n v="4"/>
    <x v="9"/>
  </r>
  <r>
    <s v="ORD120"/>
    <d v="2025-09-04T00:00:00"/>
    <x v="4"/>
    <x v="3"/>
    <x v="4"/>
    <n v="31"/>
    <n v="694"/>
    <n v="21514"/>
    <n v="3872.52"/>
    <n v="100"/>
    <n v="0.18"/>
    <n v="14384.0136"/>
    <s v="Cancled"/>
    <n v="3"/>
    <x v="0"/>
  </r>
  <r>
    <s v="ORD121"/>
    <d v="2025-05-08T00:00:00"/>
    <x v="4"/>
    <x v="4"/>
    <x v="0"/>
    <n v="158"/>
    <n v="788"/>
    <n v="124504"/>
    <n v="22410.719999999998"/>
    <n v="0"/>
    <n v="0.09"/>
    <n v="92904.8848"/>
    <s v="In-Progress"/>
    <n v="4"/>
    <x v="10"/>
  </r>
  <r>
    <s v="ORD122"/>
    <d v="2025-08-14T00:00:00"/>
    <x v="3"/>
    <x v="4"/>
    <x v="2"/>
    <n v="148"/>
    <n v="1987"/>
    <n v="294076"/>
    <n v="52933.68"/>
    <n v="0"/>
    <n v="0.19"/>
    <n v="195325.27920000002"/>
    <s v="Cancled"/>
    <n v="2"/>
    <x v="11"/>
  </r>
  <r>
    <s v="ORD123"/>
    <d v="2025-03-09T00:00:00"/>
    <x v="4"/>
    <x v="4"/>
    <x v="0"/>
    <n v="160"/>
    <n v="715"/>
    <n v="114400"/>
    <n v="20592"/>
    <n v="0"/>
    <n v="0.15"/>
    <n v="79736.800000000003"/>
    <s v="In-Progress"/>
    <n v="2"/>
    <x v="2"/>
  </r>
  <r>
    <s v="ORD124"/>
    <d v="2025-05-11T00:00:00"/>
    <x v="4"/>
    <x v="1"/>
    <x v="2"/>
    <n v="60"/>
    <n v="560"/>
    <n v="33600"/>
    <n v="6048"/>
    <n v="100"/>
    <n v="0.16"/>
    <n v="23059.68"/>
    <s v="In-Progress"/>
    <n v="3"/>
    <x v="3"/>
  </r>
  <r>
    <s v="ORD125"/>
    <d v="2025-09-25T00:00:00"/>
    <x v="1"/>
    <x v="3"/>
    <x v="3"/>
    <n v="195"/>
    <n v="1415"/>
    <n v="275925"/>
    <n v="49666.5"/>
    <n v="0"/>
    <n v="0.17"/>
    <n v="187794.55499999999"/>
    <s v="Cancled"/>
    <n v="4"/>
    <x v="1"/>
  </r>
  <r>
    <s v="ORD126"/>
    <d v="2025-02-01T00:00:00"/>
    <x v="0"/>
    <x v="3"/>
    <x v="0"/>
    <n v="178"/>
    <n v="1735"/>
    <n v="308830"/>
    <n v="55589.4"/>
    <n v="0"/>
    <n v="0.03"/>
    <n v="245643.38200000001"/>
    <s v="In-Progress"/>
    <n v="5"/>
    <x v="4"/>
  </r>
  <r>
    <s v="ORD127"/>
    <d v="2025-12-26T00:00:00"/>
    <x v="2"/>
    <x v="4"/>
    <x v="4"/>
    <n v="87"/>
    <n v="1232"/>
    <n v="107184"/>
    <n v="19293.12"/>
    <n v="100"/>
    <n v="0.12"/>
    <n v="77255.974400000006"/>
    <s v="Cancled"/>
    <n v="3"/>
    <x v="5"/>
  </r>
  <r>
    <s v="ORD128"/>
    <d v="2025-03-13T00:00:00"/>
    <x v="4"/>
    <x v="4"/>
    <x v="4"/>
    <n v="81"/>
    <n v="1159"/>
    <n v="93879"/>
    <n v="16898.22"/>
    <n v="100"/>
    <n v="0"/>
    <n v="76880.78"/>
    <s v="Cancled"/>
    <n v="1"/>
    <x v="6"/>
  </r>
  <r>
    <s v="ORD129"/>
    <d v="2025-06-26T00:00:00"/>
    <x v="3"/>
    <x v="4"/>
    <x v="2"/>
    <n v="21"/>
    <n v="1379"/>
    <n v="28959"/>
    <n v="5212.62"/>
    <n v="100"/>
    <n v="0.05"/>
    <n v="22464.061000000002"/>
    <s v="Cancled"/>
    <n v="3"/>
    <x v="7"/>
  </r>
  <r>
    <s v="ORD130"/>
    <d v="2025-10-07T00:00:00"/>
    <x v="4"/>
    <x v="2"/>
    <x v="3"/>
    <n v="74"/>
    <n v="1889"/>
    <n v="139786"/>
    <n v="25161.48"/>
    <n v="100"/>
    <n v="0.11"/>
    <n v="101926.82280000001"/>
    <s v="Cancled"/>
    <n v="3"/>
    <x v="8"/>
  </r>
  <r>
    <s v="ORD131"/>
    <d v="2025-05-25T00:00:00"/>
    <x v="1"/>
    <x v="3"/>
    <x v="0"/>
    <n v="69"/>
    <n v="1588"/>
    <n v="109572"/>
    <n v="19722.96"/>
    <n v="100"/>
    <n v="0.17"/>
    <n v="74491.703200000004"/>
    <s v="Shipped"/>
    <n v="2"/>
    <x v="9"/>
  </r>
  <r>
    <s v="ORD132"/>
    <d v="2025-06-05T00:00:00"/>
    <x v="4"/>
    <x v="1"/>
    <x v="0"/>
    <n v="85"/>
    <n v="1474"/>
    <n v="125290"/>
    <n v="22552.2"/>
    <n v="100"/>
    <n v="0.1"/>
    <n v="92374.02"/>
    <s v="In-Progress"/>
    <n v="4"/>
    <x v="0"/>
  </r>
  <r>
    <s v="ORD133"/>
    <d v="2025-12-20T00:00:00"/>
    <x v="2"/>
    <x v="4"/>
    <x v="1"/>
    <n v="182"/>
    <n v="686"/>
    <n v="124852"/>
    <n v="22473.360000000001"/>
    <n v="0"/>
    <n v="0.02"/>
    <n v="100331.06719999999"/>
    <s v="Cancled"/>
    <n v="1"/>
    <x v="10"/>
  </r>
  <r>
    <s v="ORD134"/>
    <d v="2025-06-23T00:00:00"/>
    <x v="2"/>
    <x v="4"/>
    <x v="0"/>
    <n v="33"/>
    <n v="963"/>
    <n v="31779"/>
    <n v="5720.2199999999993"/>
    <n v="100"/>
    <n v="0.06"/>
    <n v="24401.253199999999"/>
    <s v="Shipped"/>
    <n v="3"/>
    <x v="11"/>
  </r>
  <r>
    <s v="ORD135"/>
    <d v="2025-07-26T00:00:00"/>
    <x v="4"/>
    <x v="0"/>
    <x v="2"/>
    <n v="172"/>
    <n v="1898"/>
    <n v="326456"/>
    <n v="58762.079999999994"/>
    <n v="0"/>
    <n v="0.17"/>
    <n v="222185.95359999998"/>
    <s v="Shipped"/>
    <n v="3"/>
    <x v="2"/>
  </r>
  <r>
    <s v="ORD136"/>
    <d v="2025-11-10T00:00:00"/>
    <x v="1"/>
    <x v="1"/>
    <x v="2"/>
    <n v="195"/>
    <n v="1467"/>
    <n v="286065"/>
    <n v="51491.7"/>
    <n v="0"/>
    <n v="7.0000000000000007E-2"/>
    <n v="218153.16899999997"/>
    <s v="Shipped"/>
    <n v="1"/>
    <x v="3"/>
  </r>
  <r>
    <s v="ORD137"/>
    <d v="2025-06-03T00:00:00"/>
    <x v="3"/>
    <x v="1"/>
    <x v="0"/>
    <n v="175"/>
    <n v="776"/>
    <n v="135800"/>
    <n v="24444"/>
    <n v="0"/>
    <n v="0.12"/>
    <n v="97993.279999999999"/>
    <s v="Shipped"/>
    <n v="2"/>
    <x v="1"/>
  </r>
  <r>
    <s v="ORD138"/>
    <d v="2025-06-28T00:00:00"/>
    <x v="0"/>
    <x v="1"/>
    <x v="2"/>
    <n v="105"/>
    <n v="725"/>
    <n v="76125"/>
    <n v="13702.5"/>
    <n v="0"/>
    <n v="0.14000000000000001"/>
    <n v="53683.35"/>
    <s v="Cancled"/>
    <n v="2"/>
    <x v="4"/>
  </r>
  <r>
    <s v="ORD139"/>
    <d v="2025-01-21T00:00:00"/>
    <x v="3"/>
    <x v="2"/>
    <x v="0"/>
    <n v="106"/>
    <n v="992"/>
    <n v="105152"/>
    <n v="18927.36"/>
    <n v="0"/>
    <n v="0.2"/>
    <n v="68979.712"/>
    <s v="Cancled"/>
    <n v="1"/>
    <x v="5"/>
  </r>
  <r>
    <s v="ORD140"/>
    <d v="2025-07-18T00:00:00"/>
    <x v="2"/>
    <x v="4"/>
    <x v="1"/>
    <n v="166"/>
    <n v="1170"/>
    <n v="194220"/>
    <n v="34959.599999999999"/>
    <n v="0"/>
    <n v="0.18"/>
    <n v="130593.52800000001"/>
    <s v="In-Progress"/>
    <n v="1"/>
    <x v="6"/>
  </r>
  <r>
    <s v="ORD141"/>
    <d v="2025-09-22T00:00:00"/>
    <x v="3"/>
    <x v="3"/>
    <x v="4"/>
    <n v="89"/>
    <n v="1970"/>
    <n v="175330"/>
    <n v="31559.399999999998"/>
    <n v="100"/>
    <n v="0.16"/>
    <n v="120683.304"/>
    <s v="Shipped"/>
    <n v="3"/>
    <x v="7"/>
  </r>
  <r>
    <s v="ORD142"/>
    <d v="2025-01-22T00:00:00"/>
    <x v="4"/>
    <x v="1"/>
    <x v="1"/>
    <n v="112"/>
    <n v="997"/>
    <n v="111664"/>
    <n v="20099.52"/>
    <n v="0"/>
    <n v="0.16"/>
    <n v="76914.163199999995"/>
    <s v="In-Progress"/>
    <n v="5"/>
    <x v="8"/>
  </r>
  <r>
    <s v="ORD143"/>
    <d v="2025-12-22T00:00:00"/>
    <x v="4"/>
    <x v="4"/>
    <x v="1"/>
    <n v="142"/>
    <n v="1898"/>
    <n v="269516"/>
    <n v="48512.88"/>
    <n v="0"/>
    <n v="0.12"/>
    <n v="194482.74559999999"/>
    <s v="Cancled"/>
    <n v="2"/>
    <x v="9"/>
  </r>
  <r>
    <s v="ORD144"/>
    <d v="2025-05-05T00:00:00"/>
    <x v="2"/>
    <x v="3"/>
    <x v="3"/>
    <n v="163"/>
    <n v="1189"/>
    <n v="193807"/>
    <n v="34885.26"/>
    <n v="0"/>
    <n v="0.1"/>
    <n v="143029.56599999999"/>
    <s v="In-Progress"/>
    <n v="3"/>
    <x v="0"/>
  </r>
  <r>
    <s v="ORD145"/>
    <d v="2025-04-14T00:00:00"/>
    <x v="0"/>
    <x v="3"/>
    <x v="2"/>
    <n v="170"/>
    <n v="507"/>
    <n v="86190"/>
    <n v="15514.199999999999"/>
    <n v="0"/>
    <n v="0.04"/>
    <n v="67848.767999999996"/>
    <s v="Cancled"/>
    <n v="5"/>
    <x v="10"/>
  </r>
  <r>
    <s v="ORD146"/>
    <d v="2025-11-09T00:00:00"/>
    <x v="1"/>
    <x v="3"/>
    <x v="4"/>
    <n v="107"/>
    <n v="1890"/>
    <n v="202230"/>
    <n v="36401.4"/>
    <n v="0"/>
    <n v="0.14000000000000001"/>
    <n v="142612.59599999999"/>
    <s v="Cancled"/>
    <n v="2"/>
    <x v="11"/>
  </r>
  <r>
    <s v="ORD147"/>
    <d v="2025-08-20T00:00:00"/>
    <x v="1"/>
    <x v="4"/>
    <x v="2"/>
    <n v="181"/>
    <n v="556"/>
    <n v="100636"/>
    <n v="18114.48"/>
    <n v="0"/>
    <n v="0.16"/>
    <n v="69318.076799999995"/>
    <s v="In-Progress"/>
    <n v="5"/>
    <x v="2"/>
  </r>
  <r>
    <s v="ORD148"/>
    <d v="2025-06-20T00:00:00"/>
    <x v="0"/>
    <x v="1"/>
    <x v="4"/>
    <n v="37"/>
    <n v="1194"/>
    <n v="44178"/>
    <n v="7952.04"/>
    <n v="100"/>
    <n v="0.17"/>
    <n v="29984.546799999996"/>
    <s v="In-Progress"/>
    <n v="1"/>
    <x v="3"/>
  </r>
  <r>
    <s v="ORD149"/>
    <d v="2025-01-04T00:00:00"/>
    <x v="3"/>
    <x v="4"/>
    <x v="4"/>
    <n v="105"/>
    <n v="1748"/>
    <n v="183540"/>
    <n v="33037.199999999997"/>
    <n v="0"/>
    <n v="0.03"/>
    <n v="145987.71599999999"/>
    <s v="Shipped"/>
    <n v="4"/>
    <x v="1"/>
  </r>
  <r>
    <s v="ORD150"/>
    <d v="2025-04-16T00:00:00"/>
    <x v="3"/>
    <x v="0"/>
    <x v="1"/>
    <n v="109"/>
    <n v="681"/>
    <n v="74229"/>
    <n v="13361.22"/>
    <n v="0"/>
    <n v="0.04"/>
    <n v="58433.068799999994"/>
    <s v="Shipped"/>
    <n v="5"/>
    <x v="4"/>
  </r>
  <r>
    <s v="ORD151"/>
    <d v="2025-05-24T00:00:00"/>
    <x v="2"/>
    <x v="3"/>
    <x v="3"/>
    <n v="119"/>
    <n v="631"/>
    <n v="75089"/>
    <n v="13516.019999999999"/>
    <n v="0"/>
    <n v="0.2"/>
    <n v="49258.384000000005"/>
    <s v="Shipped"/>
    <n v="2"/>
    <x v="5"/>
  </r>
  <r>
    <s v="ORD152"/>
    <d v="2025-01-28T00:00:00"/>
    <x v="4"/>
    <x v="0"/>
    <x v="2"/>
    <n v="55"/>
    <n v="1612"/>
    <n v="88660"/>
    <n v="15958.8"/>
    <n v="100"/>
    <n v="0.01"/>
    <n v="71875.187999999995"/>
    <s v="Shipped"/>
    <n v="2"/>
    <x v="6"/>
  </r>
  <r>
    <s v="ORD153"/>
    <d v="2025-03-13T00:00:00"/>
    <x v="1"/>
    <x v="3"/>
    <x v="3"/>
    <n v="28"/>
    <n v="906"/>
    <n v="25368"/>
    <n v="4566.24"/>
    <n v="100"/>
    <n v="0.04"/>
    <n v="19873.689600000002"/>
    <s v="Shipped"/>
    <n v="1"/>
    <x v="7"/>
  </r>
  <r>
    <s v="ORD154"/>
    <d v="2025-12-27T00:00:00"/>
    <x v="2"/>
    <x v="3"/>
    <x v="1"/>
    <n v="71"/>
    <n v="1870"/>
    <n v="132770"/>
    <n v="23898.6"/>
    <n v="100"/>
    <n v="7.0000000000000007E-2"/>
    <n v="101157.40199999999"/>
    <s v="Cancled"/>
    <n v="1"/>
    <x v="8"/>
  </r>
  <r>
    <s v="ORD155"/>
    <d v="2025-04-25T00:00:00"/>
    <x v="3"/>
    <x v="3"/>
    <x v="1"/>
    <n v="32"/>
    <n v="1825"/>
    <n v="58400"/>
    <n v="10512"/>
    <n v="100"/>
    <n v="0.08"/>
    <n v="43964.959999999999"/>
    <s v="Shipped"/>
    <n v="2"/>
    <x v="9"/>
  </r>
  <r>
    <s v="ORD156"/>
    <d v="2025-04-20T00:00:00"/>
    <x v="0"/>
    <x v="1"/>
    <x v="4"/>
    <n v="176"/>
    <n v="991"/>
    <n v="174416"/>
    <n v="31394.879999999997"/>
    <n v="0"/>
    <n v="7.0000000000000007E-2"/>
    <n v="133009.64159999997"/>
    <s v="In-Progress"/>
    <n v="3"/>
    <x v="0"/>
  </r>
  <r>
    <s v="ORD157"/>
    <d v="2025-09-14T00:00:00"/>
    <x v="2"/>
    <x v="3"/>
    <x v="1"/>
    <n v="185"/>
    <n v="1764"/>
    <n v="326340"/>
    <n v="58741.2"/>
    <n v="0"/>
    <n v="0.02"/>
    <n v="262246.82399999996"/>
    <s v="Shipped"/>
    <n v="2"/>
    <x v="10"/>
  </r>
  <r>
    <s v="ORD158"/>
    <d v="2025-03-06T00:00:00"/>
    <x v="1"/>
    <x v="3"/>
    <x v="3"/>
    <n v="187"/>
    <n v="1939"/>
    <n v="362593"/>
    <n v="65266.74"/>
    <n v="0"/>
    <n v="0.1"/>
    <n v="267593.63400000002"/>
    <s v="Shipped"/>
    <n v="3"/>
    <x v="11"/>
  </r>
  <r>
    <s v="ORD159"/>
    <d v="2025-06-28T00:00:00"/>
    <x v="3"/>
    <x v="4"/>
    <x v="0"/>
    <n v="94"/>
    <n v="1201"/>
    <n v="112894"/>
    <n v="20320.919999999998"/>
    <n v="100"/>
    <n v="0.14000000000000001"/>
    <n v="79526.848800000007"/>
    <s v="In-Progress"/>
    <n v="3"/>
    <x v="2"/>
  </r>
  <r>
    <s v="ORD160"/>
    <d v="2025-11-01T00:00:00"/>
    <x v="1"/>
    <x v="1"/>
    <x v="4"/>
    <n v="74"/>
    <n v="1996"/>
    <n v="147704"/>
    <n v="26586.719999999998"/>
    <n v="100"/>
    <n v="0"/>
    <n v="121017.28"/>
    <s v="Shipped"/>
    <n v="4"/>
    <x v="3"/>
  </r>
  <r>
    <s v="ORD161"/>
    <d v="2025-10-28T00:00:00"/>
    <x v="3"/>
    <x v="3"/>
    <x v="1"/>
    <n v="119"/>
    <n v="1638"/>
    <n v="194922"/>
    <n v="35085.96"/>
    <n v="0"/>
    <n v="0.19"/>
    <n v="129467.19240000001"/>
    <s v="Shipped"/>
    <n v="1"/>
    <x v="1"/>
  </r>
  <r>
    <s v="ORD162"/>
    <d v="2025-01-13T00:00:00"/>
    <x v="3"/>
    <x v="4"/>
    <x v="1"/>
    <n v="81"/>
    <n v="1269"/>
    <n v="102789"/>
    <n v="18502.02"/>
    <n v="100"/>
    <n v="0.19"/>
    <n v="68191.453800000003"/>
    <s v="In-Progress"/>
    <n v="1"/>
    <x v="4"/>
  </r>
  <r>
    <s v="ORD163"/>
    <d v="2025-01-12T00:00:00"/>
    <x v="0"/>
    <x v="1"/>
    <x v="0"/>
    <n v="111"/>
    <n v="764"/>
    <n v="84804"/>
    <n v="15264.72"/>
    <n v="0"/>
    <n v="0.03"/>
    <n v="67453.101599999995"/>
    <s v="In-Progress"/>
    <n v="4"/>
    <x v="5"/>
  </r>
  <r>
    <s v="ORD164"/>
    <d v="2025-06-23T00:00:00"/>
    <x v="3"/>
    <x v="2"/>
    <x v="0"/>
    <n v="166"/>
    <n v="996"/>
    <n v="165336"/>
    <n v="29760.48"/>
    <n v="0"/>
    <n v="0"/>
    <n v="135575.51999999999"/>
    <s v="Shipped"/>
    <n v="5"/>
    <x v="6"/>
  </r>
  <r>
    <s v="ORD165"/>
    <d v="2025-12-01T00:00:00"/>
    <x v="1"/>
    <x v="2"/>
    <x v="4"/>
    <n v="95"/>
    <n v="1458"/>
    <n v="138510"/>
    <n v="24931.8"/>
    <n v="100"/>
    <n v="0.06"/>
    <n v="106669.50799999999"/>
    <s v="Cancled"/>
    <n v="1"/>
    <x v="7"/>
  </r>
  <r>
    <s v="ORD166"/>
    <d v="2025-05-02T00:00:00"/>
    <x v="3"/>
    <x v="0"/>
    <x v="1"/>
    <n v="132"/>
    <n v="1549"/>
    <n v="204468"/>
    <n v="36804.239999999998"/>
    <n v="0"/>
    <n v="0"/>
    <n v="167663.76"/>
    <s v="In-Progress"/>
    <n v="5"/>
    <x v="8"/>
  </r>
  <r>
    <s v="ORD167"/>
    <d v="2025-12-23T00:00:00"/>
    <x v="0"/>
    <x v="1"/>
    <x v="0"/>
    <n v="80"/>
    <n v="1296"/>
    <n v="103680"/>
    <n v="18662.399999999998"/>
    <n v="100"/>
    <n v="0.02"/>
    <n v="83219.248000000007"/>
    <s v="Shipped"/>
    <n v="2"/>
    <x v="9"/>
  </r>
  <r>
    <s v="ORD168"/>
    <d v="2025-03-18T00:00:00"/>
    <x v="1"/>
    <x v="0"/>
    <x v="0"/>
    <n v="102"/>
    <n v="1001"/>
    <n v="102102"/>
    <n v="18378.36"/>
    <n v="0"/>
    <n v="0.05"/>
    <n v="79537.457999999999"/>
    <s v="In-Progress"/>
    <n v="1"/>
    <x v="0"/>
  </r>
  <r>
    <s v="ORD169"/>
    <d v="2025-05-01T00:00:00"/>
    <x v="1"/>
    <x v="1"/>
    <x v="1"/>
    <n v="30"/>
    <n v="1541"/>
    <n v="46230"/>
    <n v="8321.4"/>
    <n v="100"/>
    <n v="0.01"/>
    <n v="37430.513999999996"/>
    <s v="In-Progress"/>
    <n v="5"/>
    <x v="10"/>
  </r>
  <r>
    <s v="ORD170"/>
    <d v="2025-03-10T00:00:00"/>
    <x v="4"/>
    <x v="2"/>
    <x v="3"/>
    <n v="176"/>
    <n v="828"/>
    <n v="145728"/>
    <n v="26231.039999999997"/>
    <n v="0"/>
    <n v="0.19"/>
    <n v="96792.537600000011"/>
    <s v="In-Progress"/>
    <n v="1"/>
    <x v="11"/>
  </r>
  <r>
    <s v="ORD171"/>
    <d v="2025-06-08T00:00:00"/>
    <x v="3"/>
    <x v="4"/>
    <x v="4"/>
    <n v="107"/>
    <n v="541"/>
    <n v="57887"/>
    <n v="10419.66"/>
    <n v="0"/>
    <n v="0.04"/>
    <n v="45568.646399999998"/>
    <s v="Shipped"/>
    <n v="2"/>
    <x v="2"/>
  </r>
  <r>
    <s v="ORD172"/>
    <d v="2025-04-11T00:00:00"/>
    <x v="2"/>
    <x v="2"/>
    <x v="0"/>
    <n v="192"/>
    <n v="1039"/>
    <n v="199488"/>
    <n v="35907.839999999997"/>
    <n v="0"/>
    <n v="0.2"/>
    <n v="130864.12800000001"/>
    <s v="Shipped"/>
    <n v="5"/>
    <x v="3"/>
  </r>
  <r>
    <s v="ORD173"/>
    <d v="2025-01-20T00:00:00"/>
    <x v="1"/>
    <x v="2"/>
    <x v="4"/>
    <n v="24"/>
    <n v="1894"/>
    <n v="45456"/>
    <n v="8182.08"/>
    <n v="100"/>
    <n v="0.04"/>
    <n v="35686.963199999998"/>
    <s v="Cancled"/>
    <n v="2"/>
    <x v="1"/>
  </r>
  <r>
    <s v="ORD174"/>
    <d v="2025-10-23T00:00:00"/>
    <x v="0"/>
    <x v="1"/>
    <x v="2"/>
    <n v="71"/>
    <n v="679"/>
    <n v="48209"/>
    <n v="8677.619999999999"/>
    <n v="100"/>
    <n v="0.17"/>
    <n v="32728.045400000003"/>
    <s v="In-Progress"/>
    <n v="3"/>
    <x v="4"/>
  </r>
  <r>
    <s v="ORD175"/>
    <d v="2025-03-21T00:00:00"/>
    <x v="3"/>
    <x v="0"/>
    <x v="2"/>
    <n v="70"/>
    <n v="1892"/>
    <n v="132440"/>
    <n v="23839.200000000001"/>
    <n v="100"/>
    <n v="0.19"/>
    <n v="87885.648000000001"/>
    <s v="Cancled"/>
    <n v="1"/>
    <x v="5"/>
  </r>
  <r>
    <s v="ORD176"/>
    <d v="2025-02-08T00:00:00"/>
    <x v="2"/>
    <x v="1"/>
    <x v="4"/>
    <n v="170"/>
    <n v="1661"/>
    <n v="282370"/>
    <n v="50826.6"/>
    <n v="0"/>
    <n v="0.15"/>
    <n v="196811.88999999998"/>
    <s v="Cancled"/>
    <n v="3"/>
    <x v="6"/>
  </r>
  <r>
    <s v="ORD177"/>
    <d v="2025-01-22T00:00:00"/>
    <x v="1"/>
    <x v="0"/>
    <x v="1"/>
    <n v="121"/>
    <n v="955"/>
    <n v="115555"/>
    <n v="20799.899999999998"/>
    <n v="0"/>
    <n v="0.13"/>
    <n v="82436.937000000005"/>
    <s v="Cancled"/>
    <n v="3"/>
    <x v="7"/>
  </r>
  <r>
    <s v="ORD178"/>
    <d v="2025-01-28T00:00:00"/>
    <x v="4"/>
    <x v="0"/>
    <x v="2"/>
    <n v="65"/>
    <n v="1934"/>
    <n v="125710"/>
    <n v="22627.8"/>
    <n v="100"/>
    <n v="0.2"/>
    <n v="82385.760000000009"/>
    <s v="Cancled"/>
    <n v="5"/>
    <x v="8"/>
  </r>
  <r>
    <s v="ORD179"/>
    <d v="2025-07-23T00:00:00"/>
    <x v="4"/>
    <x v="1"/>
    <x v="1"/>
    <n v="180"/>
    <n v="659"/>
    <n v="118620"/>
    <n v="21351.599999999999"/>
    <n v="0"/>
    <n v="0.19"/>
    <n v="78787.403999999995"/>
    <s v="In-Progress"/>
    <n v="3"/>
    <x v="9"/>
  </r>
  <r>
    <s v="ORD180"/>
    <d v="2025-10-03T00:00:00"/>
    <x v="4"/>
    <x v="4"/>
    <x v="1"/>
    <n v="199"/>
    <n v="546"/>
    <n v="108654"/>
    <n v="19557.719999999998"/>
    <n v="0"/>
    <n v="7.0000000000000007E-2"/>
    <n v="82859.540399999998"/>
    <s v="Shipped"/>
    <n v="2"/>
    <x v="0"/>
  </r>
  <r>
    <s v="ORD181"/>
    <d v="2025-04-08T00:00:00"/>
    <x v="2"/>
    <x v="4"/>
    <x v="1"/>
    <n v="177"/>
    <n v="669"/>
    <n v="118413"/>
    <n v="21314.34"/>
    <n v="0"/>
    <n v="0.03"/>
    <n v="94185.700200000007"/>
    <s v="Shipped"/>
    <n v="3"/>
    <x v="10"/>
  </r>
  <r>
    <s v="ORD182"/>
    <d v="2025-06-23T00:00:00"/>
    <x v="1"/>
    <x v="2"/>
    <x v="4"/>
    <n v="193"/>
    <n v="1809"/>
    <n v="349137"/>
    <n v="62844.659999999996"/>
    <n v="0"/>
    <n v="0.17"/>
    <n v="237622.6422"/>
    <s v="In-Progress"/>
    <n v="3"/>
    <x v="11"/>
  </r>
  <r>
    <s v="ORD183"/>
    <d v="2025-01-04T00:00:00"/>
    <x v="4"/>
    <x v="1"/>
    <x v="4"/>
    <n v="170"/>
    <n v="1286"/>
    <n v="218620"/>
    <n v="39351.599999999999"/>
    <n v="0"/>
    <n v="0.11"/>
    <n v="159548.87599999999"/>
    <s v="Cancled"/>
    <n v="3"/>
    <x v="2"/>
  </r>
  <r>
    <s v="ORD184"/>
    <d v="2025-03-24T00:00:00"/>
    <x v="3"/>
    <x v="3"/>
    <x v="0"/>
    <n v="132"/>
    <n v="674"/>
    <n v="88968"/>
    <n v="16014.24"/>
    <n v="0"/>
    <n v="0.18"/>
    <n v="59822.083200000001"/>
    <s v="In-Progress"/>
    <n v="3"/>
    <x v="3"/>
  </r>
  <r>
    <s v="ORD185"/>
    <d v="2025-02-09T00:00:00"/>
    <x v="1"/>
    <x v="1"/>
    <x v="3"/>
    <n v="84"/>
    <n v="683"/>
    <n v="57372"/>
    <n v="10326.959999999999"/>
    <n v="100"/>
    <n v="0.12"/>
    <n v="41311.635200000004"/>
    <s v="Shipped"/>
    <n v="2"/>
    <x v="1"/>
  </r>
  <r>
    <s v="ORD186"/>
    <d v="2025-09-17T00:00:00"/>
    <x v="0"/>
    <x v="3"/>
    <x v="0"/>
    <n v="20"/>
    <n v="675"/>
    <n v="13500"/>
    <n v="2430"/>
    <n v="100"/>
    <n v="0.13"/>
    <n v="9543.9"/>
    <s v="In-Progress"/>
    <n v="3"/>
    <x v="4"/>
  </r>
  <r>
    <s v="ORD187"/>
    <d v="2025-12-10T00:00:00"/>
    <x v="3"/>
    <x v="2"/>
    <x v="1"/>
    <n v="57"/>
    <n v="805"/>
    <n v="45885"/>
    <n v="8259.2999999999993"/>
    <n v="100"/>
    <n v="0.03"/>
    <n v="36399.928999999996"/>
    <s v="In-Progress"/>
    <n v="4"/>
    <x v="5"/>
  </r>
  <r>
    <s v="ORD188"/>
    <d v="2025-01-20T00:00:00"/>
    <x v="4"/>
    <x v="0"/>
    <x v="3"/>
    <n v="141"/>
    <n v="1751"/>
    <n v="246891"/>
    <n v="44440.38"/>
    <n v="0"/>
    <n v="0.16"/>
    <n v="170058.5208"/>
    <s v="Shipped"/>
    <n v="2"/>
    <x v="6"/>
  </r>
  <r>
    <s v="ORD189"/>
    <d v="2025-06-22T00:00:00"/>
    <x v="2"/>
    <x v="4"/>
    <x v="4"/>
    <n v="121"/>
    <n v="997"/>
    <n v="120637"/>
    <n v="21714.66"/>
    <n v="0"/>
    <n v="0.11"/>
    <n v="88040.882599999997"/>
    <s v="Cancled"/>
    <n v="4"/>
    <x v="7"/>
  </r>
  <r>
    <s v="ORD190"/>
    <d v="2025-10-14T00:00:00"/>
    <x v="2"/>
    <x v="1"/>
    <x v="2"/>
    <n v="127"/>
    <n v="1433"/>
    <n v="181991"/>
    <n v="32758.379999999997"/>
    <n v="0"/>
    <n v="0.12"/>
    <n v="131324.70559999999"/>
    <s v="In-Progress"/>
    <n v="5"/>
    <x v="8"/>
  </r>
  <r>
    <s v="ORD191"/>
    <d v="2025-11-10T00:00:00"/>
    <x v="0"/>
    <x v="2"/>
    <x v="4"/>
    <n v="110"/>
    <n v="874"/>
    <n v="96140"/>
    <n v="17305.2"/>
    <n v="0"/>
    <n v="0.19"/>
    <n v="63856.188000000009"/>
    <s v="Cancled"/>
    <n v="3"/>
    <x v="9"/>
  </r>
  <r>
    <s v="ORD192"/>
    <d v="2025-02-13T00:00:00"/>
    <x v="3"/>
    <x v="0"/>
    <x v="4"/>
    <n v="175"/>
    <n v="1063"/>
    <n v="186025"/>
    <n v="33484.5"/>
    <n v="0"/>
    <n v="0.19"/>
    <n v="123557.80500000001"/>
    <s v="In-Progress"/>
    <n v="1"/>
    <x v="0"/>
  </r>
  <r>
    <s v="ORD193"/>
    <d v="2025-03-03T00:00:00"/>
    <x v="4"/>
    <x v="4"/>
    <x v="1"/>
    <n v="50"/>
    <n v="1235"/>
    <n v="61750"/>
    <n v="11115"/>
    <n v="100"/>
    <n v="0.19"/>
    <n v="40933.350000000006"/>
    <s v="Shipped"/>
    <n v="1"/>
    <x v="10"/>
  </r>
  <r>
    <s v="ORD194"/>
    <d v="2025-06-12T00:00:00"/>
    <x v="4"/>
    <x v="0"/>
    <x v="4"/>
    <n v="95"/>
    <n v="753"/>
    <n v="71535"/>
    <n v="12876.3"/>
    <n v="100"/>
    <n v="0.08"/>
    <n v="53874.004000000001"/>
    <s v="In-Progress"/>
    <n v="2"/>
    <x v="11"/>
  </r>
  <r>
    <s v="ORD195"/>
    <d v="2025-01-16T00:00:00"/>
    <x v="2"/>
    <x v="2"/>
    <x v="4"/>
    <n v="129"/>
    <n v="1413"/>
    <n v="182277"/>
    <n v="32809.86"/>
    <n v="0"/>
    <n v="0.06"/>
    <n v="140499.1116"/>
    <s v="Cancled"/>
    <n v="1"/>
    <x v="2"/>
  </r>
  <r>
    <s v="ORD196"/>
    <d v="2025-04-24T00:00:00"/>
    <x v="4"/>
    <x v="1"/>
    <x v="4"/>
    <n v="176"/>
    <n v="1003"/>
    <n v="176528"/>
    <n v="31775.039999999997"/>
    <n v="0"/>
    <n v="0.18"/>
    <n v="118697.42720000001"/>
    <s v="Shipped"/>
    <n v="2"/>
    <x v="3"/>
  </r>
  <r>
    <s v="ORD197"/>
    <d v="2025-04-26T00:00:00"/>
    <x v="0"/>
    <x v="3"/>
    <x v="3"/>
    <n v="151"/>
    <n v="1164"/>
    <n v="175764"/>
    <n v="31637.52"/>
    <n v="0"/>
    <n v="0.17"/>
    <n v="119624.97840000001"/>
    <s v="Cancled"/>
    <n v="3"/>
    <x v="1"/>
  </r>
  <r>
    <s v="ORD198"/>
    <d v="2025-01-13T00:00:00"/>
    <x v="1"/>
    <x v="3"/>
    <x v="2"/>
    <n v="130"/>
    <n v="1010"/>
    <n v="131300"/>
    <n v="23634"/>
    <n v="0"/>
    <n v="0.01"/>
    <n v="106589.34"/>
    <s v="In-Progress"/>
    <n v="3"/>
    <x v="4"/>
  </r>
  <r>
    <s v="ORD199"/>
    <d v="2025-03-27T00:00:00"/>
    <x v="0"/>
    <x v="3"/>
    <x v="0"/>
    <n v="183"/>
    <n v="580"/>
    <n v="106140"/>
    <n v="19105.2"/>
    <n v="0"/>
    <n v="0.06"/>
    <n v="81812.712"/>
    <s v="Shipped"/>
    <n v="1"/>
    <x v="5"/>
  </r>
  <r>
    <s v="ORD200"/>
    <d v="2025-04-10T00:00:00"/>
    <x v="1"/>
    <x v="1"/>
    <x v="3"/>
    <n v="182"/>
    <n v="1715"/>
    <n v="312130"/>
    <n v="56183.4"/>
    <n v="0"/>
    <n v="0"/>
    <n v="255946.6"/>
    <s v="In-Progress"/>
    <n v="2"/>
    <x v="6"/>
  </r>
  <r>
    <s v="ORD201"/>
    <d v="2025-01-08T00:00:00"/>
    <x v="3"/>
    <x v="3"/>
    <x v="2"/>
    <n v="67"/>
    <n v="1602"/>
    <n v="107334"/>
    <n v="19320.12"/>
    <n v="100"/>
    <n v="0.05"/>
    <n v="83518.186000000002"/>
    <s v="Cancled"/>
    <n v="2"/>
    <x v="7"/>
  </r>
  <r>
    <s v="ORD202"/>
    <d v="2025-01-24T00:00:00"/>
    <x v="1"/>
    <x v="2"/>
    <x v="2"/>
    <n v="87"/>
    <n v="1549"/>
    <n v="134763"/>
    <n v="24257.34"/>
    <n v="100"/>
    <n v="0.19"/>
    <n v="89428.584600000002"/>
    <s v="Shipped"/>
    <n v="2"/>
    <x v="8"/>
  </r>
  <r>
    <s v="ORD203"/>
    <d v="2025-04-27T00:00:00"/>
    <x v="1"/>
    <x v="3"/>
    <x v="2"/>
    <n v="24"/>
    <n v="1917"/>
    <n v="46008"/>
    <n v="8281.44"/>
    <n v="100"/>
    <n v="0.04"/>
    <n v="36121.497599999995"/>
    <s v="In-Progress"/>
    <n v="3"/>
    <x v="9"/>
  </r>
  <r>
    <s v="ORD204"/>
    <d v="2025-11-26T00:00:00"/>
    <x v="0"/>
    <x v="3"/>
    <x v="3"/>
    <n v="139"/>
    <n v="1361"/>
    <n v="189179"/>
    <n v="34052.22"/>
    <n v="0"/>
    <n v="0.18"/>
    <n v="127203.9596"/>
    <s v="Shipped"/>
    <n v="4"/>
    <x v="0"/>
  </r>
  <r>
    <s v="ORD205"/>
    <d v="2025-01-12T00:00:00"/>
    <x v="1"/>
    <x v="2"/>
    <x v="4"/>
    <n v="142"/>
    <n v="1321"/>
    <n v="187582"/>
    <n v="33764.76"/>
    <n v="0"/>
    <n v="0.17"/>
    <n v="127668.30919999999"/>
    <s v="Shipped"/>
    <n v="3"/>
    <x v="10"/>
  </r>
  <r>
    <s v="ORD206"/>
    <d v="2025-01-13T00:00:00"/>
    <x v="0"/>
    <x v="2"/>
    <x v="2"/>
    <n v="86"/>
    <n v="1255"/>
    <n v="107930"/>
    <n v="19427.399999999998"/>
    <n v="100"/>
    <n v="0.13"/>
    <n v="76910.262000000002"/>
    <s v="In-Progress"/>
    <n v="3"/>
    <x v="11"/>
  </r>
  <r>
    <s v="ORD207"/>
    <d v="2025-01-19T00:00:00"/>
    <x v="2"/>
    <x v="3"/>
    <x v="2"/>
    <n v="164"/>
    <n v="1444"/>
    <n v="236816"/>
    <n v="42626.879999999997"/>
    <n v="0"/>
    <n v="0.18"/>
    <n v="159235.0784"/>
    <s v="Cancled"/>
    <n v="1"/>
    <x v="2"/>
  </r>
  <r>
    <s v="ORD208"/>
    <d v="2025-05-19T00:00:00"/>
    <x v="4"/>
    <x v="0"/>
    <x v="2"/>
    <n v="142"/>
    <n v="1312"/>
    <n v="186304"/>
    <n v="33534.720000000001"/>
    <n v="0"/>
    <n v="0.19"/>
    <n v="123743.1168"/>
    <s v="In-Progress"/>
    <n v="5"/>
    <x v="3"/>
  </r>
  <r>
    <s v="ORD209"/>
    <d v="2025-07-24T00:00:00"/>
    <x v="3"/>
    <x v="3"/>
    <x v="2"/>
    <n v="88"/>
    <n v="925"/>
    <n v="81400"/>
    <n v="14652"/>
    <n v="100"/>
    <n v="0.12"/>
    <n v="58650.239999999998"/>
    <s v="Shipped"/>
    <n v="5"/>
    <x v="1"/>
  </r>
  <r>
    <s v="ORD210"/>
    <d v="2025-09-10T00:00:00"/>
    <x v="0"/>
    <x v="1"/>
    <x v="1"/>
    <n v="160"/>
    <n v="1947"/>
    <n v="311520"/>
    <n v="56073.599999999999"/>
    <n v="0"/>
    <n v="0.15"/>
    <n v="217129.44"/>
    <s v="In-Progress"/>
    <n v="2"/>
    <x v="4"/>
  </r>
  <r>
    <s v="ORD211"/>
    <d v="2025-01-09T00:00:00"/>
    <x v="2"/>
    <x v="1"/>
    <x v="0"/>
    <n v="76"/>
    <n v="1179"/>
    <n v="89604"/>
    <n v="16128.72"/>
    <n v="100"/>
    <n v="0"/>
    <n v="73375.28"/>
    <s v="In-Progress"/>
    <n v="2"/>
    <x v="5"/>
  </r>
  <r>
    <s v="ORD212"/>
    <d v="2025-06-07T00:00:00"/>
    <x v="4"/>
    <x v="3"/>
    <x v="3"/>
    <n v="183"/>
    <n v="856"/>
    <n v="156648"/>
    <n v="28196.639999999999"/>
    <n v="0"/>
    <n v="0.15"/>
    <n v="109183.656"/>
    <s v="Shipped"/>
    <n v="1"/>
    <x v="6"/>
  </r>
  <r>
    <s v="ORD213"/>
    <d v="2025-04-25T00:00:00"/>
    <x v="3"/>
    <x v="4"/>
    <x v="2"/>
    <n v="175"/>
    <n v="1525"/>
    <n v="266875"/>
    <n v="48037.5"/>
    <n v="0"/>
    <n v="0"/>
    <n v="218837.5"/>
    <s v="Shipped"/>
    <n v="4"/>
    <x v="7"/>
  </r>
  <r>
    <s v="ORD214"/>
    <d v="2025-06-22T00:00:00"/>
    <x v="3"/>
    <x v="1"/>
    <x v="2"/>
    <n v="106"/>
    <n v="787"/>
    <n v="83422"/>
    <n v="15015.96"/>
    <n v="0"/>
    <n v="0.08"/>
    <n v="62933.556800000013"/>
    <s v="Shipped"/>
    <n v="1"/>
    <x v="8"/>
  </r>
  <r>
    <s v="ORD215"/>
    <d v="2025-12-12T00:00:00"/>
    <x v="4"/>
    <x v="4"/>
    <x v="0"/>
    <n v="148"/>
    <n v="1349"/>
    <n v="199652"/>
    <n v="35937.360000000001"/>
    <n v="0"/>
    <n v="0.14000000000000001"/>
    <n v="140794.59040000002"/>
    <s v="In-Progress"/>
    <n v="5"/>
    <x v="9"/>
  </r>
  <r>
    <s v="ORD216"/>
    <d v="2025-03-20T00:00:00"/>
    <x v="4"/>
    <x v="1"/>
    <x v="1"/>
    <n v="28"/>
    <n v="524"/>
    <n v="14672"/>
    <n v="2640.96"/>
    <n v="100"/>
    <n v="0.03"/>
    <n v="11573.1088"/>
    <s v="Shipped"/>
    <n v="4"/>
    <x v="0"/>
  </r>
  <r>
    <s v="ORD217"/>
    <d v="2025-02-05T00:00:00"/>
    <x v="0"/>
    <x v="0"/>
    <x v="4"/>
    <n v="191"/>
    <n v="648"/>
    <n v="123768"/>
    <n v="22278.239999999998"/>
    <n v="0"/>
    <n v="0.19"/>
    <n v="82206.705600000016"/>
    <s v="In-Progress"/>
    <n v="5"/>
    <x v="10"/>
  </r>
  <r>
    <s v="ORD218"/>
    <d v="2025-01-05T00:00:00"/>
    <x v="3"/>
    <x v="4"/>
    <x v="1"/>
    <n v="186"/>
    <n v="1696"/>
    <n v="315456"/>
    <n v="56782.079999999994"/>
    <n v="0"/>
    <n v="0.11"/>
    <n v="230219.78880000001"/>
    <s v="Cancled"/>
    <n v="5"/>
    <x v="11"/>
  </r>
  <r>
    <s v="ORD219"/>
    <d v="2025-11-10T00:00:00"/>
    <x v="1"/>
    <x v="4"/>
    <x v="2"/>
    <n v="58"/>
    <n v="1332"/>
    <n v="77256"/>
    <n v="13906.08"/>
    <n v="100"/>
    <n v="7.0000000000000007E-2"/>
    <n v="58822.425599999995"/>
    <s v="Cancled"/>
    <n v="3"/>
    <x v="2"/>
  </r>
  <r>
    <s v="ORD220"/>
    <d v="2025-09-17T00:00:00"/>
    <x v="3"/>
    <x v="1"/>
    <x v="0"/>
    <n v="115"/>
    <n v="686"/>
    <n v="78890"/>
    <n v="14200.199999999999"/>
    <n v="0"/>
    <n v="0.19"/>
    <n v="52398.738000000005"/>
    <s v="Cancled"/>
    <n v="1"/>
    <x v="3"/>
  </r>
  <r>
    <s v="ORD221"/>
    <d v="2025-10-08T00:00:00"/>
    <x v="0"/>
    <x v="3"/>
    <x v="3"/>
    <n v="152"/>
    <n v="1355"/>
    <n v="205960"/>
    <n v="37072.799999999996"/>
    <n v="0"/>
    <n v="0.01"/>
    <n v="167198.32800000001"/>
    <s v="In-Progress"/>
    <n v="3"/>
    <x v="1"/>
  </r>
  <r>
    <s v="ORD222"/>
    <d v="2025-05-02T00:00:00"/>
    <x v="0"/>
    <x v="4"/>
    <x v="2"/>
    <n v="180"/>
    <n v="1558"/>
    <n v="280440"/>
    <n v="50479.199999999997"/>
    <n v="0"/>
    <n v="0.09"/>
    <n v="209264.32800000001"/>
    <s v="Shipped"/>
    <n v="4"/>
    <x v="4"/>
  </r>
  <r>
    <s v="ORD223"/>
    <d v="2025-06-01T00:00:00"/>
    <x v="4"/>
    <x v="1"/>
    <x v="2"/>
    <n v="135"/>
    <n v="552"/>
    <n v="74520"/>
    <n v="13413.6"/>
    <n v="0"/>
    <n v="0.1"/>
    <n v="54995.76"/>
    <s v="Shipped"/>
    <n v="1"/>
    <x v="5"/>
  </r>
  <r>
    <s v="ORD224"/>
    <d v="2025-07-03T00:00:00"/>
    <x v="4"/>
    <x v="3"/>
    <x v="4"/>
    <n v="62"/>
    <n v="1937"/>
    <n v="120094"/>
    <n v="21616.92"/>
    <n v="100"/>
    <n v="0.2"/>
    <n v="78701.664000000004"/>
    <s v="Shipped"/>
    <n v="4"/>
    <x v="6"/>
  </r>
  <r>
    <s v="ORD225"/>
    <d v="2025-11-04T00:00:00"/>
    <x v="2"/>
    <x v="1"/>
    <x v="1"/>
    <n v="75"/>
    <n v="1660"/>
    <n v="124500"/>
    <n v="22410"/>
    <n v="100"/>
    <n v="0"/>
    <n v="101990"/>
    <s v="Cancled"/>
    <n v="4"/>
    <x v="7"/>
  </r>
  <r>
    <s v="ORD226"/>
    <d v="2025-10-10T00:00:00"/>
    <x v="3"/>
    <x v="0"/>
    <x v="4"/>
    <n v="58"/>
    <n v="1861"/>
    <n v="107938"/>
    <n v="19428.84"/>
    <n v="100"/>
    <n v="0.2"/>
    <n v="70727.328000000009"/>
    <s v="Shipped"/>
    <n v="3"/>
    <x v="8"/>
  </r>
  <r>
    <s v="ORD227"/>
    <d v="2025-10-27T00:00:00"/>
    <x v="4"/>
    <x v="2"/>
    <x v="4"/>
    <n v="152"/>
    <n v="612"/>
    <n v="93024"/>
    <n v="16744.32"/>
    <n v="0"/>
    <n v="0.17"/>
    <n v="63312.134399999988"/>
    <s v="In-Progress"/>
    <n v="4"/>
    <x v="9"/>
  </r>
  <r>
    <s v="ORD228"/>
    <d v="2025-06-15T00:00:00"/>
    <x v="1"/>
    <x v="3"/>
    <x v="4"/>
    <n v="71"/>
    <n v="1666"/>
    <n v="118286"/>
    <n v="21291.48"/>
    <n v="100"/>
    <n v="0.18"/>
    <n v="79453.506400000013"/>
    <s v="In-Progress"/>
    <n v="4"/>
    <x v="0"/>
  </r>
  <r>
    <s v="ORD229"/>
    <d v="2025-06-15T00:00:00"/>
    <x v="0"/>
    <x v="4"/>
    <x v="3"/>
    <n v="115"/>
    <n v="1714"/>
    <n v="197110"/>
    <n v="35479.799999999996"/>
    <n v="0"/>
    <n v="0.19"/>
    <n v="130920.46200000001"/>
    <s v="In-Progress"/>
    <n v="5"/>
    <x v="10"/>
  </r>
  <r>
    <s v="ORD230"/>
    <d v="2025-09-27T00:00:00"/>
    <x v="3"/>
    <x v="0"/>
    <x v="4"/>
    <n v="71"/>
    <n v="754"/>
    <n v="53534"/>
    <n v="9636.119999999999"/>
    <n v="100"/>
    <n v="0.15"/>
    <n v="37228.198000000004"/>
    <s v="Cancled"/>
    <n v="3"/>
    <x v="11"/>
  </r>
  <r>
    <s v="ORD231"/>
    <d v="2025-01-15T00:00:00"/>
    <x v="2"/>
    <x v="1"/>
    <x v="4"/>
    <n v="134"/>
    <n v="1307"/>
    <n v="175138"/>
    <n v="31524.84"/>
    <n v="0"/>
    <n v="0.03"/>
    <n v="139304.76519999999"/>
    <s v="Shipped"/>
    <n v="1"/>
    <x v="2"/>
  </r>
  <r>
    <s v="ORD232"/>
    <d v="2025-10-08T00:00:00"/>
    <x v="0"/>
    <x v="3"/>
    <x v="1"/>
    <n v="156"/>
    <n v="1462"/>
    <n v="228072"/>
    <n v="41052.959999999999"/>
    <n v="0"/>
    <n v="7.0000000000000007E-2"/>
    <n v="173927.7072"/>
    <s v="In-Progress"/>
    <n v="2"/>
    <x v="3"/>
  </r>
  <r>
    <s v="ORD233"/>
    <d v="2025-12-02T00:00:00"/>
    <x v="2"/>
    <x v="0"/>
    <x v="3"/>
    <n v="41"/>
    <n v="1887"/>
    <n v="77367"/>
    <n v="13926.06"/>
    <n v="100"/>
    <n v="0.1"/>
    <n v="57006.846000000005"/>
    <s v="Shipped"/>
    <n v="2"/>
    <x v="1"/>
  </r>
  <r>
    <s v="ORD234"/>
    <d v="2025-04-24T00:00:00"/>
    <x v="4"/>
    <x v="0"/>
    <x v="2"/>
    <n v="66"/>
    <n v="1248"/>
    <n v="82368"/>
    <n v="14826.24"/>
    <n v="100"/>
    <n v="0"/>
    <n v="67441.759999999995"/>
    <s v="In-Progress"/>
    <n v="1"/>
    <x v="4"/>
  </r>
  <r>
    <s v="ORD235"/>
    <d v="2025-04-13T00:00:00"/>
    <x v="2"/>
    <x v="1"/>
    <x v="1"/>
    <n v="164"/>
    <n v="1190"/>
    <n v="195160"/>
    <n v="35128.799999999996"/>
    <n v="0"/>
    <n v="0.05"/>
    <n v="152029.64000000001"/>
    <s v="Cancled"/>
    <n v="2"/>
    <x v="5"/>
  </r>
  <r>
    <s v="ORD236"/>
    <d v="2025-07-17T00:00:00"/>
    <x v="1"/>
    <x v="1"/>
    <x v="3"/>
    <n v="184"/>
    <n v="1323"/>
    <n v="243432"/>
    <n v="43817.759999999995"/>
    <n v="0"/>
    <n v="0.1"/>
    <n v="179652.81599999999"/>
    <s v="Shipped"/>
    <n v="2"/>
    <x v="6"/>
  </r>
  <r>
    <s v="ORD237"/>
    <d v="2025-06-25T00:00:00"/>
    <x v="0"/>
    <x v="1"/>
    <x v="2"/>
    <n v="76"/>
    <n v="934"/>
    <n v="70984"/>
    <n v="12777.119999999999"/>
    <n v="100"/>
    <n v="0.08"/>
    <n v="53458.329600000005"/>
    <s v="Cancled"/>
    <n v="4"/>
    <x v="7"/>
  </r>
  <r>
    <s v="ORD238"/>
    <d v="2025-11-02T00:00:00"/>
    <x v="2"/>
    <x v="0"/>
    <x v="0"/>
    <n v="33"/>
    <n v="1217"/>
    <n v="40161"/>
    <n v="7228.98"/>
    <n v="100"/>
    <n v="0.05"/>
    <n v="31190.419000000002"/>
    <s v="Shipped"/>
    <n v="4"/>
    <x v="8"/>
  </r>
  <r>
    <s v="ORD239"/>
    <d v="2025-08-01T00:00:00"/>
    <x v="1"/>
    <x v="4"/>
    <x v="3"/>
    <n v="130"/>
    <n v="1961"/>
    <n v="254930"/>
    <n v="45887.4"/>
    <n v="0"/>
    <n v="0.03"/>
    <n v="202771.32199999999"/>
    <s v="Cancled"/>
    <n v="2"/>
    <x v="9"/>
  </r>
  <r>
    <s v="ORD240"/>
    <d v="2025-01-12T00:00:00"/>
    <x v="2"/>
    <x v="4"/>
    <x v="3"/>
    <n v="199"/>
    <n v="1806"/>
    <n v="359394"/>
    <n v="64690.92"/>
    <n v="0"/>
    <n v="0.15"/>
    <n v="250497.61800000002"/>
    <s v="In-Progress"/>
    <n v="3"/>
    <x v="0"/>
  </r>
  <r>
    <s v="ORD241"/>
    <d v="2025-05-02T00:00:00"/>
    <x v="0"/>
    <x v="0"/>
    <x v="4"/>
    <n v="94"/>
    <n v="1098"/>
    <n v="103212"/>
    <n v="18578.16"/>
    <n v="100"/>
    <n v="0.17"/>
    <n v="70163.087199999994"/>
    <s v="In-Progress"/>
    <n v="4"/>
    <x v="10"/>
  </r>
  <r>
    <s v="ORD242"/>
    <d v="2025-02-20T00:00:00"/>
    <x v="3"/>
    <x v="1"/>
    <x v="3"/>
    <n v="87"/>
    <n v="1363"/>
    <n v="118581"/>
    <n v="21344.579999999998"/>
    <n v="100"/>
    <n v="0.17"/>
    <n v="80623.228599999988"/>
    <s v="Shipped"/>
    <n v="4"/>
    <x v="11"/>
  </r>
  <r>
    <s v="ORD243"/>
    <d v="2025-03-17T00:00:00"/>
    <x v="1"/>
    <x v="2"/>
    <x v="0"/>
    <n v="67"/>
    <n v="1299"/>
    <n v="87033"/>
    <n v="15665.939999999999"/>
    <n v="100"/>
    <n v="0.03"/>
    <n v="69129.04819999999"/>
    <s v="In-Progress"/>
    <n v="2"/>
    <x v="2"/>
  </r>
  <r>
    <s v="ORD244"/>
    <d v="2025-10-25T00:00:00"/>
    <x v="1"/>
    <x v="4"/>
    <x v="2"/>
    <n v="139"/>
    <n v="719"/>
    <n v="99941"/>
    <n v="17989.38"/>
    <n v="0"/>
    <n v="0.15"/>
    <n v="69658.876999999993"/>
    <s v="Shipped"/>
    <n v="1"/>
    <x v="3"/>
  </r>
  <r>
    <s v="ORD245"/>
    <d v="2025-01-20T00:00:00"/>
    <x v="2"/>
    <x v="3"/>
    <x v="1"/>
    <n v="122"/>
    <n v="1441"/>
    <n v="175802"/>
    <n v="31644.36"/>
    <n v="0"/>
    <n v="0.1"/>
    <n v="129741.87600000002"/>
    <s v="Cancled"/>
    <n v="3"/>
    <x v="1"/>
  </r>
  <r>
    <s v="ORD246"/>
    <d v="2025-01-08T00:00:00"/>
    <x v="0"/>
    <x v="3"/>
    <x v="0"/>
    <n v="119"/>
    <n v="869"/>
    <n v="103411"/>
    <n v="18613.98"/>
    <n v="0"/>
    <n v="0.02"/>
    <n v="83101.079599999997"/>
    <s v="Shipped"/>
    <n v="3"/>
    <x v="4"/>
  </r>
  <r>
    <s v="ORD247"/>
    <d v="2025-01-20T00:00:00"/>
    <x v="1"/>
    <x v="2"/>
    <x v="4"/>
    <n v="96"/>
    <n v="657"/>
    <n v="63072"/>
    <n v="11352.96"/>
    <n v="100"/>
    <n v="0.09"/>
    <n v="46973.326400000005"/>
    <s v="Cancled"/>
    <n v="4"/>
    <x v="5"/>
  </r>
  <r>
    <s v="ORD248"/>
    <d v="2025-07-06T00:00:00"/>
    <x v="1"/>
    <x v="4"/>
    <x v="1"/>
    <n v="144"/>
    <n v="1191"/>
    <n v="171504"/>
    <n v="30870.719999999998"/>
    <n v="0"/>
    <n v="0.14000000000000001"/>
    <n v="120944.6208"/>
    <s v="Cancled"/>
    <n v="1"/>
    <x v="6"/>
  </r>
  <r>
    <s v="ORD249"/>
    <d v="2025-02-24T00:00:00"/>
    <x v="1"/>
    <x v="1"/>
    <x v="2"/>
    <n v="138"/>
    <n v="1033"/>
    <n v="142554"/>
    <n v="25659.719999999998"/>
    <n v="0"/>
    <n v="0.15"/>
    <n v="99360.137999999992"/>
    <s v="Cancled"/>
    <n v="4"/>
    <x v="7"/>
  </r>
  <r>
    <s v="ORD250"/>
    <d v="2025-08-02T00:00:00"/>
    <x v="1"/>
    <x v="0"/>
    <x v="0"/>
    <n v="30"/>
    <n v="1406"/>
    <n v="42180"/>
    <n v="7592.4"/>
    <n v="100"/>
    <n v="0.05"/>
    <n v="32763.219999999998"/>
    <s v="Shipped"/>
    <n v="4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72B0BE-76AA-4657-B966-EBB6C5F1198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7">
  <location ref="A1:B14" firstHeaderRow="1" firstDataRow="1" firstDataCol="1"/>
  <pivotFields count="15"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6"/>
        <item x="7"/>
        <item x="8"/>
        <item x="9"/>
        <item x="0"/>
        <item x="10"/>
        <item x="11"/>
        <item x="2"/>
        <item x="3"/>
        <item x="1"/>
        <item x="4"/>
        <item x="5"/>
        <item t="default"/>
      </items>
    </pivotField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Gross Revenue" fld="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A9CC5D-75B0-4D3F-9D31-42420EF53B1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A1:B7" firstHeaderRow="1" firstDataRow="1" firstDataCol="1"/>
  <pivotFields count="15">
    <pivotField showAll="0"/>
    <pivotField numFmtId="14" showAll="0"/>
    <pivotField showAll="0"/>
    <pivotField axis="axisRow" showAll="0">
      <items count="6">
        <item x="3"/>
        <item x="4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Net Profit" fld="1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82A490-B07A-4775-9617-4FA329BDD68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3">
  <location ref="A1:B7" firstHeaderRow="1" firstDataRow="1" firstDataCol="1"/>
  <pivotFields count="15">
    <pivotField showAll="0"/>
    <pivotField numFmtId="14" showAll="0"/>
    <pivotField axis="axisRow" showAll="0">
      <items count="6">
        <item x="0"/>
        <item x="4"/>
        <item x="3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Gross Revenue" fld="7" baseField="0" baseItem="0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64AF3-D479-4196-9712-411D7916697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1:B7" firstHeaderRow="1" firstDataRow="1" firstDataCol="1"/>
  <pivotFields count="15">
    <pivotField showAll="0"/>
    <pivotField numFmtId="14" showAll="0"/>
    <pivotField showAll="0"/>
    <pivotField showAll="0"/>
    <pivotField axis="axisRow" showAll="0">
      <items count="6">
        <item x="1"/>
        <item x="2"/>
        <item x="4"/>
        <item x="0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 Sold" fld="5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3049E4-8DE0-40C4-B41B-8295E3737FE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1:B14" firstHeaderRow="1" firstDataRow="1" firstDataCol="1"/>
  <pivotFields count="15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3">
        <item x="6"/>
        <item x="7"/>
        <item x="8"/>
        <item x="9"/>
        <item x="0"/>
        <item x="10"/>
        <item x="11"/>
        <item x="2"/>
        <item x="3"/>
        <item x="1"/>
        <item x="4"/>
        <item x="5"/>
        <item t="default"/>
      </items>
    </pivotField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Customer Rating" fld="13" subtotal="average" baseField="1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EA6CF4-97FE-426C-89C2-C4DCFED2F2A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1:B7" firstHeaderRow="1" firstDataRow="1" firstDataCol="1"/>
  <pivotFields count="15">
    <pivotField showAll="0"/>
    <pivotField numFmtId="14" showAll="0"/>
    <pivotField showAll="0"/>
    <pivotField showAll="0"/>
    <pivotField axis="axisRow" showAll="0">
      <items count="6">
        <item x="1"/>
        <item x="2"/>
        <item x="4"/>
        <item x="0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 Sold" fld="5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76908-E691-4400-8131-1E813F4958CC}">
  <dimension ref="A1:C14"/>
  <sheetViews>
    <sheetView workbookViewId="0">
      <selection activeCell="L18" sqref="C3:L18"/>
    </sheetView>
  </sheetViews>
  <sheetFormatPr defaultRowHeight="14.4" x14ac:dyDescent="0.3"/>
  <cols>
    <col min="1" max="1" width="15.44140625" customWidth="1"/>
    <col min="2" max="2" width="24.5546875" customWidth="1"/>
    <col min="3" max="3" width="15.77734375" customWidth="1"/>
  </cols>
  <sheetData>
    <row r="1" spans="1:3" x14ac:dyDescent="0.3">
      <c r="A1" s="2" t="s">
        <v>0</v>
      </c>
      <c r="B1" t="s">
        <v>1</v>
      </c>
    </row>
    <row r="2" spans="1:3" x14ac:dyDescent="0.3">
      <c r="A2" s="1" t="s">
        <v>2</v>
      </c>
      <c r="B2">
        <v>3757331</v>
      </c>
      <c r="C2" s="1"/>
    </row>
    <row r="3" spans="1:3" x14ac:dyDescent="0.3">
      <c r="A3" s="1" t="s">
        <v>3</v>
      </c>
      <c r="B3">
        <v>2188578</v>
      </c>
      <c r="C3" s="1"/>
    </row>
    <row r="4" spans="1:3" x14ac:dyDescent="0.3">
      <c r="A4" s="1" t="s">
        <v>4</v>
      </c>
      <c r="B4">
        <v>2689772</v>
      </c>
      <c r="C4" s="1"/>
    </row>
    <row r="5" spans="1:3" x14ac:dyDescent="0.3">
      <c r="A5" s="1" t="s">
        <v>5</v>
      </c>
      <c r="B5">
        <v>2579349</v>
      </c>
      <c r="C5" s="1"/>
    </row>
    <row r="6" spans="1:3" x14ac:dyDescent="0.3">
      <c r="A6" s="1" t="s">
        <v>6</v>
      </c>
      <c r="B6">
        <v>2507632</v>
      </c>
      <c r="C6" s="1"/>
    </row>
    <row r="7" spans="1:3" x14ac:dyDescent="0.3">
      <c r="A7" s="1" t="s">
        <v>7</v>
      </c>
      <c r="B7">
        <v>2502874</v>
      </c>
      <c r="C7" s="1"/>
    </row>
    <row r="8" spans="1:3" x14ac:dyDescent="0.3">
      <c r="A8" s="1" t="s">
        <v>8</v>
      </c>
      <c r="B8">
        <v>3153910</v>
      </c>
      <c r="C8" s="1"/>
    </row>
    <row r="9" spans="1:3" x14ac:dyDescent="0.3">
      <c r="A9" s="1" t="s">
        <v>9</v>
      </c>
      <c r="B9">
        <v>2812803</v>
      </c>
      <c r="C9" s="1"/>
    </row>
    <row r="10" spans="1:3" x14ac:dyDescent="0.3">
      <c r="A10" s="1" t="s">
        <v>10</v>
      </c>
      <c r="B10">
        <v>2794042</v>
      </c>
      <c r="C10" s="1"/>
    </row>
    <row r="11" spans="1:3" x14ac:dyDescent="0.3">
      <c r="A11" s="1" t="s">
        <v>11</v>
      </c>
      <c r="B11">
        <v>3494416</v>
      </c>
      <c r="C11" s="1"/>
    </row>
    <row r="12" spans="1:3" x14ac:dyDescent="0.3">
      <c r="A12" s="1" t="s">
        <v>12</v>
      </c>
      <c r="B12">
        <v>2537282</v>
      </c>
      <c r="C12" s="1"/>
    </row>
    <row r="13" spans="1:3" x14ac:dyDescent="0.3">
      <c r="A13" s="1" t="s">
        <v>13</v>
      </c>
      <c r="B13">
        <v>2021272</v>
      </c>
      <c r="C13" s="1"/>
    </row>
    <row r="14" spans="1:3" x14ac:dyDescent="0.3">
      <c r="A14" s="1" t="s">
        <v>14</v>
      </c>
      <c r="B14">
        <v>33039261</v>
      </c>
      <c r="C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BCE0C-CF01-43B1-8661-FE769298F9E6}">
  <dimension ref="A1:B7"/>
  <sheetViews>
    <sheetView workbookViewId="0">
      <selection activeCell="N4" sqref="N4"/>
    </sheetView>
  </sheetViews>
  <sheetFormatPr defaultRowHeight="14.4" x14ac:dyDescent="0.3"/>
  <cols>
    <col min="1" max="1" width="16.44140625" bestFit="1" customWidth="1"/>
    <col min="2" max="2" width="20.44140625" bestFit="1" customWidth="1"/>
  </cols>
  <sheetData>
    <row r="1" spans="1:2" x14ac:dyDescent="0.3">
      <c r="A1" s="2" t="s">
        <v>0</v>
      </c>
      <c r="B1" t="s">
        <v>15</v>
      </c>
    </row>
    <row r="2" spans="1:2" x14ac:dyDescent="0.3">
      <c r="A2" s="1" t="s">
        <v>16</v>
      </c>
      <c r="B2">
        <v>6047397.8350000018</v>
      </c>
    </row>
    <row r="3" spans="1:2" x14ac:dyDescent="0.3">
      <c r="A3" s="1" t="s">
        <v>17</v>
      </c>
      <c r="B3">
        <v>5619355.5148</v>
      </c>
    </row>
    <row r="4" spans="1:2" x14ac:dyDescent="0.3">
      <c r="A4" s="1" t="s">
        <v>18</v>
      </c>
      <c r="B4">
        <v>3786895.7864000006</v>
      </c>
    </row>
    <row r="5" spans="1:2" x14ac:dyDescent="0.3">
      <c r="A5" s="1" t="s">
        <v>19</v>
      </c>
      <c r="B5">
        <v>5149100.5095999986</v>
      </c>
    </row>
    <row r="6" spans="1:2" x14ac:dyDescent="0.3">
      <c r="A6" s="1" t="s">
        <v>20</v>
      </c>
      <c r="B6">
        <v>3669392.5036000009</v>
      </c>
    </row>
    <row r="7" spans="1:2" x14ac:dyDescent="0.3">
      <c r="A7" s="1" t="s">
        <v>14</v>
      </c>
      <c r="B7">
        <v>24272142.149400003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A6F27-C95E-4FB3-9BE2-C9CF361E31EE}">
  <dimension ref="A1:B7"/>
  <sheetViews>
    <sheetView workbookViewId="0">
      <selection activeCell="N6" sqref="N6"/>
    </sheetView>
  </sheetViews>
  <sheetFormatPr defaultRowHeight="14.4" x14ac:dyDescent="0.3"/>
  <cols>
    <col min="1" max="1" width="12.5546875" bestFit="1" customWidth="1"/>
    <col min="2" max="2" width="20" bestFit="1" customWidth="1"/>
  </cols>
  <sheetData>
    <row r="1" spans="1:2" x14ac:dyDescent="0.3">
      <c r="A1" s="2" t="s">
        <v>0</v>
      </c>
      <c r="B1" t="s">
        <v>1</v>
      </c>
    </row>
    <row r="2" spans="1:2" x14ac:dyDescent="0.3">
      <c r="A2" s="1" t="s">
        <v>21</v>
      </c>
      <c r="B2">
        <v>5227968</v>
      </c>
    </row>
    <row r="3" spans="1:2" x14ac:dyDescent="0.3">
      <c r="A3" s="1" t="s">
        <v>22</v>
      </c>
      <c r="B3">
        <v>7307037</v>
      </c>
    </row>
    <row r="4" spans="1:2" x14ac:dyDescent="0.3">
      <c r="A4" s="1" t="s">
        <v>23</v>
      </c>
      <c r="B4">
        <v>5668655</v>
      </c>
    </row>
    <row r="5" spans="1:2" x14ac:dyDescent="0.3">
      <c r="A5" s="1" t="s">
        <v>24</v>
      </c>
      <c r="B5">
        <v>7660466</v>
      </c>
    </row>
    <row r="6" spans="1:2" x14ac:dyDescent="0.3">
      <c r="A6" s="1" t="s">
        <v>25</v>
      </c>
      <c r="B6">
        <v>7175135</v>
      </c>
    </row>
    <row r="7" spans="1:2" x14ac:dyDescent="0.3">
      <c r="A7" s="1" t="s">
        <v>14</v>
      </c>
      <c r="B7">
        <v>33039261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C663B-3A40-4F79-B024-5CDCCCC249D8}">
  <dimension ref="A1:B7"/>
  <sheetViews>
    <sheetView topLeftCell="B1" workbookViewId="0">
      <selection activeCell="P6" sqref="P6"/>
    </sheetView>
  </sheetViews>
  <sheetFormatPr defaultRowHeight="14.4" x14ac:dyDescent="0.3"/>
  <cols>
    <col min="1" max="1" width="12.88671875" bestFit="1" customWidth="1"/>
    <col min="2" max="2" width="15.21875" bestFit="1" customWidth="1"/>
  </cols>
  <sheetData>
    <row r="1" spans="1:2" x14ac:dyDescent="0.3">
      <c r="A1" s="2" t="s">
        <v>0</v>
      </c>
      <c r="B1" t="s">
        <v>26</v>
      </c>
    </row>
    <row r="2" spans="1:2" x14ac:dyDescent="0.3">
      <c r="A2" s="1" t="s">
        <v>27</v>
      </c>
      <c r="B2">
        <v>4920</v>
      </c>
    </row>
    <row r="3" spans="1:2" x14ac:dyDescent="0.3">
      <c r="A3" s="1" t="s">
        <v>28</v>
      </c>
      <c r="B3">
        <v>6136</v>
      </c>
    </row>
    <row r="4" spans="1:2" x14ac:dyDescent="0.3">
      <c r="A4" s="1" t="s">
        <v>29</v>
      </c>
      <c r="B4">
        <v>5609</v>
      </c>
    </row>
    <row r="5" spans="1:2" x14ac:dyDescent="0.3">
      <c r="A5" s="1" t="s">
        <v>30</v>
      </c>
      <c r="B5">
        <v>5343</v>
      </c>
    </row>
    <row r="6" spans="1:2" x14ac:dyDescent="0.3">
      <c r="A6" s="1" t="s">
        <v>31</v>
      </c>
      <c r="B6">
        <v>5062</v>
      </c>
    </row>
    <row r="7" spans="1:2" x14ac:dyDescent="0.3">
      <c r="A7" s="1" t="s">
        <v>14</v>
      </c>
      <c r="B7">
        <v>27070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8EB14-49F3-4E95-8D97-6D768D045499}">
  <dimension ref="A1:B14"/>
  <sheetViews>
    <sheetView workbookViewId="0">
      <selection activeCell="O6" sqref="O6"/>
    </sheetView>
  </sheetViews>
  <sheetFormatPr defaultRowHeight="14.4" x14ac:dyDescent="0.3"/>
  <cols>
    <col min="1" max="1" width="12.5546875" bestFit="1" customWidth="1"/>
    <col min="2" max="2" width="24.77734375" bestFit="1" customWidth="1"/>
  </cols>
  <sheetData>
    <row r="1" spans="1:2" x14ac:dyDescent="0.3">
      <c r="A1" s="2" t="s">
        <v>0</v>
      </c>
      <c r="B1" t="s">
        <v>32</v>
      </c>
    </row>
    <row r="2" spans="1:2" x14ac:dyDescent="0.3">
      <c r="A2" s="1" t="s">
        <v>2</v>
      </c>
      <c r="B2">
        <v>2.2857142857142856</v>
      </c>
    </row>
    <row r="3" spans="1:2" x14ac:dyDescent="0.3">
      <c r="A3" s="1" t="s">
        <v>3</v>
      </c>
      <c r="B3">
        <v>2.9523809523809526</v>
      </c>
    </row>
    <row r="4" spans="1:2" x14ac:dyDescent="0.3">
      <c r="A4" s="1" t="s">
        <v>4</v>
      </c>
      <c r="B4">
        <v>3.3333333333333335</v>
      </c>
    </row>
    <row r="5" spans="1:2" x14ac:dyDescent="0.3">
      <c r="A5" s="1" t="s">
        <v>5</v>
      </c>
      <c r="B5">
        <v>3.35</v>
      </c>
    </row>
    <row r="6" spans="1:2" x14ac:dyDescent="0.3">
      <c r="A6" s="1" t="s">
        <v>6</v>
      </c>
      <c r="B6">
        <v>2.9523809523809526</v>
      </c>
    </row>
    <row r="7" spans="1:2" x14ac:dyDescent="0.3">
      <c r="A7" s="1" t="s">
        <v>7</v>
      </c>
      <c r="B7">
        <v>3.3</v>
      </c>
    </row>
    <row r="8" spans="1:2" x14ac:dyDescent="0.3">
      <c r="A8" s="1" t="s">
        <v>8</v>
      </c>
      <c r="B8">
        <v>2.75</v>
      </c>
    </row>
    <row r="9" spans="1:2" x14ac:dyDescent="0.3">
      <c r="A9" s="1" t="s">
        <v>9</v>
      </c>
      <c r="B9">
        <v>2.5714285714285716</v>
      </c>
    </row>
    <row r="10" spans="1:2" x14ac:dyDescent="0.3">
      <c r="A10" s="1" t="s">
        <v>10</v>
      </c>
      <c r="B10">
        <v>2.4285714285714284</v>
      </c>
    </row>
    <row r="11" spans="1:2" x14ac:dyDescent="0.3">
      <c r="A11" s="1" t="s">
        <v>11</v>
      </c>
      <c r="B11">
        <v>2.8181818181818183</v>
      </c>
    </row>
    <row r="12" spans="1:2" x14ac:dyDescent="0.3">
      <c r="A12" s="1" t="s">
        <v>12</v>
      </c>
      <c r="B12">
        <v>3.0952380952380953</v>
      </c>
    </row>
    <row r="13" spans="1:2" x14ac:dyDescent="0.3">
      <c r="A13" s="1" t="s">
        <v>13</v>
      </c>
      <c r="B13">
        <v>2.2857142857142856</v>
      </c>
    </row>
    <row r="14" spans="1:2" x14ac:dyDescent="0.3">
      <c r="A14" s="1" t="s">
        <v>14</v>
      </c>
      <c r="B14">
        <v>2.84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68E3D-E679-4E2E-8945-7D9CBC37C4C1}">
  <dimension ref="A1:B7"/>
  <sheetViews>
    <sheetView workbookViewId="0">
      <selection activeCell="Q14" sqref="Q14"/>
    </sheetView>
  </sheetViews>
  <sheetFormatPr defaultRowHeight="14.4" x14ac:dyDescent="0.3"/>
  <cols>
    <col min="1" max="1" width="12.88671875" bestFit="1" customWidth="1"/>
    <col min="2" max="2" width="15.21875" bestFit="1" customWidth="1"/>
  </cols>
  <sheetData>
    <row r="1" spans="1:2" x14ac:dyDescent="0.3">
      <c r="A1" s="2" t="s">
        <v>0</v>
      </c>
      <c r="B1" t="s">
        <v>26</v>
      </c>
    </row>
    <row r="2" spans="1:2" x14ac:dyDescent="0.3">
      <c r="A2" s="1" t="s">
        <v>27</v>
      </c>
      <c r="B2">
        <v>4920</v>
      </c>
    </row>
    <row r="3" spans="1:2" x14ac:dyDescent="0.3">
      <c r="A3" s="1" t="s">
        <v>28</v>
      </c>
      <c r="B3">
        <v>6136</v>
      </c>
    </row>
    <row r="4" spans="1:2" x14ac:dyDescent="0.3">
      <c r="A4" s="1" t="s">
        <v>29</v>
      </c>
      <c r="B4">
        <v>5609</v>
      </c>
    </row>
    <row r="5" spans="1:2" x14ac:dyDescent="0.3">
      <c r="A5" s="1" t="s">
        <v>30</v>
      </c>
      <c r="B5">
        <v>5343</v>
      </c>
    </row>
    <row r="6" spans="1:2" x14ac:dyDescent="0.3">
      <c r="A6" s="1" t="s">
        <v>31</v>
      </c>
      <c r="B6">
        <v>5062</v>
      </c>
    </row>
    <row r="7" spans="1:2" x14ac:dyDescent="0.3">
      <c r="A7" s="1" t="s">
        <v>14</v>
      </c>
      <c r="B7">
        <v>27070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C66B5-4C02-4C55-8184-5E4818833A47}">
  <dimension ref="A1:BJ3"/>
  <sheetViews>
    <sheetView tabSelected="1" zoomScale="71" workbookViewId="0">
      <selection sqref="A1:AG3"/>
    </sheetView>
  </sheetViews>
  <sheetFormatPr defaultRowHeight="14.4" x14ac:dyDescent="0.3"/>
  <sheetData>
    <row r="1" spans="1:62" x14ac:dyDescent="0.3">
      <c r="A1" s="4" t="s">
        <v>33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</row>
    <row r="2" spans="1:62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</sheetData>
  <mergeCells count="1">
    <mergeCell ref="A1:AG3"/>
  </mergeCell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Yadav</dc:creator>
  <cp:lastModifiedBy>Vaishnavi Yadav</cp:lastModifiedBy>
  <dcterms:created xsi:type="dcterms:W3CDTF">2026-03-07T14:08:23Z</dcterms:created>
  <dcterms:modified xsi:type="dcterms:W3CDTF">2026-03-08T06:04:01Z</dcterms:modified>
</cp:coreProperties>
</file>